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gonzalocamunez/Documents/Windsurf/PROYECTOS/5. datos idealista/1. preparar datos/"/>
    </mc:Choice>
  </mc:AlternateContent>
  <xr:revisionPtr revIDLastSave="0" documentId="13_ncr:1_{5926511B-C7E9-E148-ACE0-7CC744C2AD73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Distrib muestra" sheetId="2" r:id="rId1"/>
  </sheets>
  <definedNames>
    <definedName name="_xlnm._FilterDatabase" localSheetId="0" hidden="1">'Distrib muestra'!$M$2:$Q$24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" i="2" l="1"/>
  <c r="U7" i="2"/>
  <c r="U5" i="2"/>
  <c r="U3" i="2"/>
  <c r="O8" i="2"/>
  <c r="O7" i="2"/>
  <c r="O5" i="2"/>
  <c r="O3" i="2"/>
  <c r="T24" i="2"/>
  <c r="T21" i="2"/>
  <c r="T19" i="2"/>
  <c r="T15" i="2"/>
  <c r="T10" i="2"/>
  <c r="T8" i="2"/>
  <c r="T7" i="2"/>
  <c r="T5" i="2"/>
  <c r="T3" i="2"/>
  <c r="N21" i="2"/>
  <c r="N19" i="2"/>
  <c r="N15" i="2"/>
  <c r="N10" i="2"/>
  <c r="N24" i="2" s="1"/>
  <c r="N8" i="2"/>
  <c r="N7" i="2"/>
  <c r="N5" i="2"/>
  <c r="N3" i="2"/>
  <c r="H24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G3" i="2"/>
  <c r="AH3" i="2"/>
  <c r="AI3" i="2"/>
  <c r="AJ3" i="2"/>
  <c r="AK3" i="2"/>
  <c r="AF4" i="2"/>
  <c r="AG4" i="2"/>
  <c r="AH4" i="2"/>
  <c r="AI4" i="2"/>
  <c r="AJ4" i="2"/>
  <c r="AF5" i="2"/>
  <c r="AG5" i="2"/>
  <c r="AH5" i="2"/>
  <c r="AI5" i="2"/>
  <c r="AJ5" i="2"/>
  <c r="AF6" i="2"/>
  <c r="AG6" i="2"/>
  <c r="AH6" i="2"/>
  <c r="AI6" i="2"/>
  <c r="AJ6" i="2"/>
  <c r="AF7" i="2"/>
  <c r="AG7" i="2"/>
  <c r="AH7" i="2"/>
  <c r="AI7" i="2"/>
  <c r="AJ7" i="2"/>
  <c r="AF8" i="2"/>
  <c r="AG8" i="2"/>
  <c r="AH8" i="2"/>
  <c r="AI8" i="2"/>
  <c r="AJ8" i="2"/>
  <c r="AF9" i="2"/>
  <c r="AG9" i="2"/>
  <c r="AH9" i="2"/>
  <c r="AI9" i="2"/>
  <c r="AJ9" i="2"/>
  <c r="AF10" i="2"/>
  <c r="AG10" i="2"/>
  <c r="AH10" i="2"/>
  <c r="AI10" i="2"/>
  <c r="AJ10" i="2"/>
  <c r="AF11" i="2"/>
  <c r="AG11" i="2"/>
  <c r="AH11" i="2"/>
  <c r="AI11" i="2"/>
  <c r="AJ11" i="2"/>
  <c r="AF12" i="2"/>
  <c r="AG12" i="2"/>
  <c r="AH12" i="2"/>
  <c r="AI12" i="2"/>
  <c r="AJ12" i="2"/>
  <c r="AF13" i="2"/>
  <c r="AG13" i="2"/>
  <c r="AH13" i="2"/>
  <c r="AI13" i="2"/>
  <c r="AJ13" i="2"/>
  <c r="AF14" i="2"/>
  <c r="AG14" i="2"/>
  <c r="AH14" i="2"/>
  <c r="AI14" i="2"/>
  <c r="AJ14" i="2"/>
  <c r="AF15" i="2"/>
  <c r="AG15" i="2"/>
  <c r="AH15" i="2"/>
  <c r="AI15" i="2"/>
  <c r="AJ15" i="2"/>
  <c r="AF16" i="2"/>
  <c r="AG16" i="2"/>
  <c r="AH16" i="2"/>
  <c r="AI16" i="2"/>
  <c r="AJ16" i="2"/>
  <c r="AF17" i="2"/>
  <c r="AG17" i="2"/>
  <c r="AH17" i="2"/>
  <c r="AI17" i="2"/>
  <c r="AJ17" i="2"/>
  <c r="AF18" i="2"/>
  <c r="AG18" i="2"/>
  <c r="AH18" i="2"/>
  <c r="AI18" i="2"/>
  <c r="AJ18" i="2"/>
  <c r="AF19" i="2"/>
  <c r="AG19" i="2"/>
  <c r="AH19" i="2"/>
  <c r="AI19" i="2"/>
  <c r="AJ19" i="2"/>
  <c r="AF20" i="2"/>
  <c r="AG20" i="2"/>
  <c r="AH20" i="2"/>
  <c r="AI20" i="2"/>
  <c r="AJ20" i="2"/>
  <c r="AF21" i="2"/>
  <c r="AG21" i="2"/>
  <c r="AH21" i="2"/>
  <c r="AI21" i="2"/>
  <c r="AJ21" i="2"/>
  <c r="AF22" i="2"/>
  <c r="AG22" i="2"/>
  <c r="AH22" i="2"/>
  <c r="AI22" i="2"/>
  <c r="AJ22" i="2"/>
  <c r="AF23" i="2"/>
  <c r="AG23" i="2"/>
  <c r="AH23" i="2"/>
  <c r="AI23" i="2"/>
  <c r="AJ23" i="2"/>
  <c r="AF3" i="2"/>
  <c r="S19" i="2"/>
  <c r="S21" i="2"/>
  <c r="S10" i="2"/>
  <c r="S15" i="2"/>
  <c r="S3" i="2"/>
  <c r="R3" i="2" s="1"/>
  <c r="M19" i="2"/>
  <c r="M21" i="2"/>
  <c r="M10" i="2"/>
  <c r="M15" i="2"/>
  <c r="M3" i="2"/>
  <c r="L3" i="2" s="1"/>
  <c r="P24" i="2"/>
  <c r="Q5" i="2" s="1"/>
  <c r="V24" i="2"/>
  <c r="W19" i="2" s="1"/>
  <c r="L10" i="2" l="1"/>
  <c r="L24" i="2" s="1"/>
  <c r="R10" i="2"/>
  <c r="R24" i="2" s="1"/>
  <c r="M24" i="2"/>
  <c r="S24" i="2"/>
  <c r="U19" i="2" s="1"/>
  <c r="O21" i="2"/>
  <c r="O19" i="2"/>
  <c r="Q21" i="2"/>
  <c r="Q4" i="2"/>
  <c r="Q15" i="2"/>
  <c r="W13" i="2"/>
  <c r="Q23" i="2"/>
  <c r="Q18" i="2"/>
  <c r="Q7" i="2"/>
  <c r="W9" i="2"/>
  <c r="W11" i="2"/>
  <c r="Q22" i="2"/>
  <c r="Q17" i="2"/>
  <c r="Q19" i="2"/>
  <c r="X19" i="2" s="1"/>
  <c r="W16" i="2"/>
  <c r="W14" i="2"/>
  <c r="Q14" i="2"/>
  <c r="Q16" i="2"/>
  <c r="W6" i="2"/>
  <c r="W17" i="2"/>
  <c r="W22" i="2"/>
  <c r="Q11" i="2"/>
  <c r="Q9" i="2"/>
  <c r="W7" i="2"/>
  <c r="W18" i="2"/>
  <c r="W23" i="2"/>
  <c r="Q13" i="2"/>
  <c r="Q3" i="2"/>
  <c r="W4" i="2"/>
  <c r="W15" i="2"/>
  <c r="X15" i="2" s="1"/>
  <c r="W21" i="2"/>
  <c r="Q6" i="2"/>
  <c r="Q10" i="2"/>
  <c r="Q8" i="2"/>
  <c r="W5" i="2"/>
  <c r="X5" i="2" s="1"/>
  <c r="W12" i="2"/>
  <c r="W20" i="2"/>
  <c r="W3" i="2"/>
  <c r="Q20" i="2"/>
  <c r="Q12" i="2"/>
  <c r="W8" i="2"/>
  <c r="W10" i="2"/>
  <c r="X10" i="2" s="1"/>
  <c r="X11" i="2" l="1"/>
  <c r="O15" i="2"/>
  <c r="X6" i="2"/>
  <c r="X23" i="2"/>
  <c r="X9" i="2"/>
  <c r="X18" i="2"/>
  <c r="O10" i="2"/>
  <c r="X3" i="2"/>
  <c r="X4" i="2"/>
  <c r="X22" i="2"/>
  <c r="X7" i="2"/>
  <c r="X8" i="2"/>
  <c r="X21" i="2"/>
  <c r="X14" i="2"/>
  <c r="X16" i="2"/>
  <c r="X13" i="2"/>
  <c r="X20" i="2"/>
  <c r="X12" i="2"/>
  <c r="X17" i="2"/>
  <c r="U21" i="2"/>
  <c r="U15" i="2"/>
  <c r="U10" i="2"/>
  <c r="U24" i="2" s="1"/>
  <c r="O24" i="2"/>
  <c r="Q24" i="2"/>
  <c r="W24" i="2"/>
</calcChain>
</file>

<file path=xl/sharedStrings.xml><?xml version="1.0" encoding="utf-8"?>
<sst xmlns="http://schemas.openxmlformats.org/spreadsheetml/2006/main" count="206" uniqueCount="57">
  <si>
    <t>distrito</t>
  </si>
  <si>
    <t>Carabanchel</t>
  </si>
  <si>
    <t>Hortaleza</t>
  </si>
  <si>
    <t>Chamartín</t>
  </si>
  <si>
    <t>Vicálvaro</t>
  </si>
  <si>
    <t>Arganzuela</t>
  </si>
  <si>
    <t>San Blas</t>
  </si>
  <si>
    <t>Villa de Vallecas</t>
  </si>
  <si>
    <t>Moncloa</t>
  </si>
  <si>
    <t>Tetuán</t>
  </si>
  <si>
    <t>Barajas</t>
  </si>
  <si>
    <t>Centro</t>
  </si>
  <si>
    <t>Barrio de Salamanca</t>
  </si>
  <si>
    <t>Chamberí</t>
  </si>
  <si>
    <t>Retiro</t>
  </si>
  <si>
    <t>Fuencarral</t>
  </si>
  <si>
    <t>Puente de Vallecas</t>
  </si>
  <si>
    <t>Usera</t>
  </si>
  <si>
    <t>Villaverde</t>
  </si>
  <si>
    <t>Latina</t>
  </si>
  <si>
    <t>Ciudad Lineal</t>
  </si>
  <si>
    <t>Moratalaz</t>
  </si>
  <si>
    <t>centro</t>
  </si>
  <si>
    <t>sur</t>
  </si>
  <si>
    <t>este</t>
  </si>
  <si>
    <t>norte</t>
  </si>
  <si>
    <t>oeste</t>
  </si>
  <si>
    <t>zona</t>
  </si>
  <si>
    <t>Cuenta de distrito</t>
  </si>
  <si>
    <t>Población</t>
  </si>
  <si>
    <t>Muestra</t>
  </si>
  <si>
    <t>% sobre el total general</t>
  </si>
  <si>
    <t>Cuenta de zona</t>
  </si>
  <si>
    <t>id_distrito</t>
  </si>
  <si>
    <t>id_zona</t>
  </si>
  <si>
    <t>centro_periferia</t>
  </si>
  <si>
    <t>id_centro_periferia</t>
  </si>
  <si>
    <t>periferia</t>
  </si>
  <si>
    <t>Totales:</t>
  </si>
  <si>
    <t>Agrupaciones</t>
  </si>
  <si>
    <t>dif represe. de la muestra</t>
  </si>
  <si>
    <t>Cuenta de centro_peri.</t>
  </si>
  <si>
    <t>subzona</t>
  </si>
  <si>
    <t>id_subzona</t>
  </si>
  <si>
    <t>centro-norte</t>
  </si>
  <si>
    <t>centro-medio</t>
  </si>
  <si>
    <t>centro-centro</t>
  </si>
  <si>
    <t>centro-sur</t>
  </si>
  <si>
    <t>Cuenta de subzona</t>
  </si>
  <si>
    <t>1.1</t>
  </si>
  <si>
    <t>1.2</t>
  </si>
  <si>
    <t>1.3</t>
  </si>
  <si>
    <t>1.4</t>
  </si>
  <si>
    <t>2.0</t>
  </si>
  <si>
    <t>3.0</t>
  </si>
  <si>
    <t>4.0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</si>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</sst>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206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9" tint="-0.499984740745262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rgb="FFFFFFFF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9C"/>
        <bgColor indexed="64"/>
      </patternFill>
    </fill>
    <fill>
      <patternFill patternType="solid">
        <fgColor rgb="FFD2A1FF"/>
        <bgColor indexed="64"/>
      </patternFill>
    </fill>
    <fill>
      <patternFill patternType="solid">
        <fgColor rgb="FF0048DA"/>
        <bgColor indexed="64"/>
      </patternFill>
    </fill>
    <fill>
      <patternFill patternType="solid">
        <fgColor rgb="FF5E93FF"/>
        <bgColor indexed="64"/>
      </patternFill>
    </fill>
    <fill>
      <patternFill patternType="solid">
        <fgColor rgb="FFFFC897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696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left" vertical="center"/>
    </xf>
    <xf numFmtId="9" fontId="0" fillId="0" borderId="5" xfId="1" applyFont="1" applyFill="1" applyBorder="1" applyAlignment="1">
      <alignment horizontal="left" vertical="center"/>
    </xf>
    <xf numFmtId="9" fontId="0" fillId="0" borderId="8" xfId="1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 vertical="center"/>
    </xf>
    <xf numFmtId="9" fontId="1" fillId="0" borderId="0" xfId="1" applyFont="1" applyBorder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6" fillId="6" borderId="4" xfId="0" applyFont="1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7" fillId="8" borderId="4" xfId="0" applyFont="1" applyFill="1" applyBorder="1" applyAlignment="1">
      <alignment horizontal="left" vertical="center"/>
    </xf>
    <xf numFmtId="0" fontId="7" fillId="8" borderId="6" xfId="0" applyFont="1" applyFill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8" fillId="13" borderId="0" xfId="0" applyFont="1" applyFill="1" applyAlignment="1">
      <alignment horizontal="right" vertical="center"/>
    </xf>
    <xf numFmtId="0" fontId="6" fillId="14" borderId="7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9" fontId="0" fillId="0" borderId="0" xfId="0" applyNumberFormat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0" fillId="15" borderId="0" xfId="0" applyFill="1" applyAlignment="1">
      <alignment horizontal="left" vertical="center"/>
    </xf>
    <xf numFmtId="0" fontId="6" fillId="14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3" fillId="3" borderId="1" xfId="0" applyFont="1" applyFill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3" fillId="3" borderId="2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5" fillId="10" borderId="2" xfId="0" applyFont="1" applyFill="1" applyBorder="1" applyAlignment="1">
      <alignment horizontal="left" vertical="center" wrapText="1"/>
    </xf>
    <xf numFmtId="0" fontId="12" fillId="11" borderId="2" xfId="0" applyFont="1" applyFill="1" applyBorder="1" applyAlignment="1">
      <alignment horizontal="left" vertical="center" wrapText="1"/>
    </xf>
    <xf numFmtId="0" fontId="12" fillId="11" borderId="3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6" fillId="12" borderId="9" xfId="0" applyFont="1" applyFill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6" fillId="12" borderId="2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5" fillId="10" borderId="3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17" borderId="0" xfId="0" applyFill="1" applyAlignment="1">
      <alignment horizontal="left" vertical="center"/>
    </xf>
    <xf numFmtId="0" fontId="0" fillId="16" borderId="0" xfId="0" applyFill="1" applyAlignment="1">
      <alignment horizontal="left" vertical="center"/>
    </xf>
    <xf numFmtId="0" fontId="6" fillId="18" borderId="0" xfId="0" applyFont="1" applyFill="1" applyAlignment="1">
      <alignment horizontal="left" vertical="center"/>
    </xf>
    <xf numFmtId="0" fontId="13" fillId="9" borderId="2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9" fontId="2" fillId="0" borderId="0" xfId="1" applyFont="1" applyAlignment="1">
      <alignment horizontal="center" vertical="center"/>
    </xf>
    <xf numFmtId="0" fontId="13" fillId="9" borderId="1" xfId="0" applyFont="1" applyFill="1" applyBorder="1" applyAlignment="1">
      <alignment horizontal="left" vertical="center" wrapText="1"/>
    </xf>
    <xf numFmtId="9" fontId="2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9" fontId="2" fillId="0" borderId="0" xfId="1" applyFont="1" applyFill="1" applyBorder="1" applyAlignment="1">
      <alignment horizontal="center" vertical="center"/>
    </xf>
    <xf numFmtId="9" fontId="2" fillId="0" borderId="7" xfId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9" borderId="13" xfId="0" applyFont="1" applyFill="1" applyBorder="1" applyAlignment="1">
      <alignment horizontal="center" vertical="center"/>
    </xf>
    <xf numFmtId="0" fontId="8" fillId="9" borderId="14" xfId="0" applyFont="1" applyFill="1" applyBorder="1" applyAlignment="1">
      <alignment horizontal="center" vertical="center"/>
    </xf>
    <xf numFmtId="0" fontId="8" fillId="9" borderId="15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</cellXfs>
  <cellStyles count="2">
    <cellStyle name="Normal" xfId="0" builtinId="0"/>
    <cellStyle name="Porcentaje" xfId="1" builtinId="5"/>
  </cellStyles>
  <dxfs count="2">
    <dxf>
      <font>
        <color auto="1"/>
      </font>
      <fill>
        <patternFill>
          <bgColor rgb="FF80AADC"/>
        </patternFill>
      </fill>
    </dxf>
    <dxf>
      <font>
        <color auto="1"/>
      </font>
      <fill>
        <patternFill>
          <bgColor rgb="FF80AADC"/>
        </patternFill>
      </fill>
    </dxf>
  </dxfs>
  <tableStyles count="0" defaultTableStyle="TableStyleMedium9" defaultPivotStyle="PivotStyleLight16"/>
  <colors>
    <mruColors>
      <color rgb="FF0048DA"/>
      <color rgb="FFFF696C"/>
      <color rgb="FFFFC897"/>
      <color rgb="FF5E93FF"/>
      <color rgb="FFD2A1FF"/>
      <color rgb="FFFFFF9C"/>
      <color rgb="FFFFEA00"/>
      <color rgb="FF8336BB"/>
      <color rgb="FF80AADC"/>
      <color rgb="FFC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910BA-61CB-5F42-A5A9-CCB00D8418FF}">
  <dimension ref="B1:AK612"/>
  <sheetViews>
    <sheetView tabSelected="1" zoomScale="133" zoomScaleNormal="320" workbookViewId="0">
      <selection activeCell="G24" sqref="G24"/>
    </sheetView>
  </sheetViews>
  <sheetFormatPr baseColWidth="10" defaultColWidth="10" defaultRowHeight="15" x14ac:dyDescent="0.2"/>
  <cols>
    <col min="1" max="1" width="5.1640625" style="2" customWidth="1"/>
    <col min="2" max="5" width="10" style="2"/>
    <col min="6" max="6" width="17.33203125" style="2" customWidth="1"/>
    <col min="7" max="7" width="10" style="2"/>
    <col min="8" max="8" width="0" style="2" hidden="1" customWidth="1"/>
    <col min="9" max="9" width="18.1640625" style="2" customWidth="1"/>
    <col min="10" max="10" width="10" style="2"/>
    <col min="11" max="12" width="9" style="2" customWidth="1"/>
    <col min="13" max="15" width="9" style="1" customWidth="1"/>
    <col min="16" max="24" width="9" style="2" customWidth="1"/>
    <col min="25" max="31" width="0" style="1" hidden="1" customWidth="1"/>
    <col min="32" max="37" width="0" style="2" hidden="1" customWidth="1"/>
    <col min="38" max="16384" width="10" style="2"/>
  </cols>
  <sheetData>
    <row r="1" spans="2:37" s="6" customFormat="1" ht="22" thickBot="1" x14ac:dyDescent="0.25">
      <c r="B1" s="61" t="s">
        <v>39</v>
      </c>
      <c r="C1" s="62"/>
      <c r="D1" s="62"/>
      <c r="E1" s="62"/>
      <c r="F1" s="62"/>
      <c r="G1" s="62"/>
      <c r="H1" s="62"/>
      <c r="I1" s="62"/>
      <c r="J1" s="63"/>
      <c r="L1" s="67" t="s">
        <v>29</v>
      </c>
      <c r="M1" s="68"/>
      <c r="N1" s="68"/>
      <c r="O1" s="68"/>
      <c r="P1" s="68"/>
      <c r="Q1" s="69"/>
      <c r="R1" s="64" t="s">
        <v>30</v>
      </c>
      <c r="S1" s="65"/>
      <c r="T1" s="65"/>
      <c r="U1" s="65"/>
      <c r="V1" s="65"/>
      <c r="W1" s="66"/>
    </row>
    <row r="2" spans="2:37" s="27" customFormat="1" ht="45" x14ac:dyDescent="0.2">
      <c r="B2" s="33" t="s">
        <v>35</v>
      </c>
      <c r="C2" s="34" t="s">
        <v>36</v>
      </c>
      <c r="D2" s="35" t="s">
        <v>27</v>
      </c>
      <c r="E2" s="34" t="s">
        <v>34</v>
      </c>
      <c r="F2" s="35" t="s">
        <v>42</v>
      </c>
      <c r="G2" s="34" t="s">
        <v>43</v>
      </c>
      <c r="H2" s="38" t="s">
        <v>28</v>
      </c>
      <c r="I2" s="35" t="s">
        <v>0</v>
      </c>
      <c r="J2" s="36" t="s">
        <v>33</v>
      </c>
      <c r="L2" s="53" t="s">
        <v>41</v>
      </c>
      <c r="M2" s="50" t="s">
        <v>32</v>
      </c>
      <c r="N2" s="50" t="s">
        <v>48</v>
      </c>
      <c r="O2" s="37" t="s">
        <v>31</v>
      </c>
      <c r="P2" s="50" t="s">
        <v>28</v>
      </c>
      <c r="Q2" s="45" t="s">
        <v>31</v>
      </c>
      <c r="R2" s="51" t="s">
        <v>41</v>
      </c>
      <c r="S2" s="51" t="s">
        <v>32</v>
      </c>
      <c r="T2" s="51" t="s">
        <v>48</v>
      </c>
      <c r="U2" s="38" t="s">
        <v>31</v>
      </c>
      <c r="V2" s="51" t="s">
        <v>28</v>
      </c>
      <c r="W2" s="39" t="s">
        <v>31</v>
      </c>
      <c r="X2" s="40" t="s">
        <v>40</v>
      </c>
      <c r="Y2" s="41" t="s">
        <v>35</v>
      </c>
      <c r="Z2" s="42" t="s">
        <v>36</v>
      </c>
      <c r="AA2" s="43" t="s">
        <v>27</v>
      </c>
      <c r="AB2" s="42" t="s">
        <v>34</v>
      </c>
      <c r="AC2" s="41" t="s">
        <v>0</v>
      </c>
      <c r="AD2" s="42" t="s">
        <v>33</v>
      </c>
      <c r="AE2" s="44"/>
      <c r="AF2" s="41" t="s">
        <v>35</v>
      </c>
      <c r="AG2" s="42" t="s">
        <v>36</v>
      </c>
      <c r="AH2" s="43" t="s">
        <v>27</v>
      </c>
      <c r="AI2" s="42" t="s">
        <v>34</v>
      </c>
      <c r="AJ2" s="41" t="s">
        <v>0</v>
      </c>
      <c r="AK2" s="42" t="s">
        <v>33</v>
      </c>
    </row>
    <row r="3" spans="2:37" x14ac:dyDescent="0.2">
      <c r="B3" s="15" t="s">
        <v>22</v>
      </c>
      <c r="C3" s="2">
        <v>1</v>
      </c>
      <c r="D3" s="10" t="s">
        <v>22</v>
      </c>
      <c r="E3" s="2">
        <v>1</v>
      </c>
      <c r="F3" s="49" t="s">
        <v>44</v>
      </c>
      <c r="G3" s="2" t="s">
        <v>49</v>
      </c>
      <c r="H3" s="2">
        <v>19</v>
      </c>
      <c r="I3" s="10" t="s">
        <v>9</v>
      </c>
      <c r="J3" s="16">
        <v>1</v>
      </c>
      <c r="L3" s="59">
        <f>+M3</f>
        <v>7699</v>
      </c>
      <c r="M3" s="55">
        <f>+P3+P4+P5+P6+P7+P8+P9</f>
        <v>7699</v>
      </c>
      <c r="N3" s="55">
        <f>+P3+P4</f>
        <v>1392</v>
      </c>
      <c r="O3" s="54">
        <f>+Q3+Q4</f>
        <v>0.1001222757678199</v>
      </c>
      <c r="P3" s="2">
        <v>741</v>
      </c>
      <c r="Q3" s="4">
        <f t="shared" ref="Q3:Q23" si="0">+P3/$P$24</f>
        <v>5.3297849385024812E-2</v>
      </c>
      <c r="R3" s="59">
        <f>+S3</f>
        <v>365</v>
      </c>
      <c r="S3" s="55">
        <f>+V3+V4+V5+V6+V7+V8+V9</f>
        <v>365</v>
      </c>
      <c r="T3" s="55">
        <f>+V3+V4</f>
        <v>53</v>
      </c>
      <c r="U3" s="54">
        <f>+W3+W4</f>
        <v>8.6885245901639346E-2</v>
      </c>
      <c r="V3" s="2">
        <v>19</v>
      </c>
      <c r="W3" s="4">
        <f t="shared" ref="W3:W23" si="1">+V3/$V$24</f>
        <v>3.1147540983606559E-2</v>
      </c>
      <c r="X3" s="28">
        <f>+W3-Q3</f>
        <v>-2.2150308401418253E-2</v>
      </c>
      <c r="Y3" s="20" t="s">
        <v>22</v>
      </c>
      <c r="Z3" s="21">
        <v>1</v>
      </c>
      <c r="AA3" s="22" t="s">
        <v>22</v>
      </c>
      <c r="AB3" s="21">
        <v>1</v>
      </c>
      <c r="AC3" s="23" t="s">
        <v>9</v>
      </c>
      <c r="AD3" s="21">
        <v>1</v>
      </c>
      <c r="AF3" s="2" t="b">
        <f>EXACT(Y3,B3)</f>
        <v>1</v>
      </c>
      <c r="AG3" s="2" t="b">
        <f>EXACT(Z3,C3)</f>
        <v>1</v>
      </c>
      <c r="AH3" s="2" t="b">
        <f>EXACT(AA3,D3)</f>
        <v>1</v>
      </c>
      <c r="AI3" s="2" t="b">
        <f>EXACT(AB3,E3)</f>
        <v>1</v>
      </c>
      <c r="AJ3" s="2" t="b">
        <f>EXACT(AC3,I3)</f>
        <v>1</v>
      </c>
      <c r="AK3" s="2" t="b">
        <f>EXACT(AD3,J3)</f>
        <v>1</v>
      </c>
    </row>
    <row r="4" spans="2:37" x14ac:dyDescent="0.2">
      <c r="B4" s="15" t="s">
        <v>22</v>
      </c>
      <c r="C4" s="2">
        <v>1</v>
      </c>
      <c r="D4" s="10" t="s">
        <v>22</v>
      </c>
      <c r="E4" s="2">
        <v>1</v>
      </c>
      <c r="F4" s="49" t="s">
        <v>44</v>
      </c>
      <c r="G4" s="2" t="s">
        <v>49</v>
      </c>
      <c r="H4" s="2">
        <v>34</v>
      </c>
      <c r="I4" s="10" t="s">
        <v>3</v>
      </c>
      <c r="J4" s="16">
        <v>2</v>
      </c>
      <c r="L4" s="59"/>
      <c r="M4" s="55"/>
      <c r="N4" s="55"/>
      <c r="O4" s="54"/>
      <c r="P4" s="2">
        <v>651</v>
      </c>
      <c r="Q4" s="4">
        <f t="shared" si="0"/>
        <v>4.6824426382795083E-2</v>
      </c>
      <c r="R4" s="59"/>
      <c r="S4" s="55"/>
      <c r="T4" s="55"/>
      <c r="U4" s="54"/>
      <c r="V4" s="2">
        <v>34</v>
      </c>
      <c r="W4" s="4">
        <f t="shared" si="1"/>
        <v>5.5737704918032788E-2</v>
      </c>
      <c r="X4" s="28">
        <f t="shared" ref="X4:X23" si="2">+W4-Q4</f>
        <v>8.913278535237705E-3</v>
      </c>
      <c r="Y4" s="20" t="s">
        <v>22</v>
      </c>
      <c r="Z4" s="24">
        <v>1</v>
      </c>
      <c r="AA4" s="23" t="s">
        <v>22</v>
      </c>
      <c r="AB4" s="24">
        <v>1</v>
      </c>
      <c r="AC4" s="23" t="s">
        <v>3</v>
      </c>
      <c r="AD4" s="24">
        <v>2</v>
      </c>
      <c r="AF4" s="2" t="b">
        <f t="shared" ref="AF4:AF23" si="3">EXACT(Y4,B4)</f>
        <v>1</v>
      </c>
      <c r="AG4" s="2" t="b">
        <f t="shared" ref="AG4:AG23" si="4">EXACT(Z4,C4)</f>
        <v>1</v>
      </c>
      <c r="AH4" s="2" t="b">
        <f t="shared" ref="AH4:AH23" si="5">EXACT(AA4,D4)</f>
        <v>1</v>
      </c>
      <c r="AI4" s="2" t="b">
        <f t="shared" ref="AI4:AI23" si="6">EXACT(AB4,E4)</f>
        <v>1</v>
      </c>
      <c r="AJ4" s="2" t="b">
        <f t="shared" ref="AJ4:AJ23" si="7">EXACT(AC4,I4)</f>
        <v>1</v>
      </c>
      <c r="AK4" s="2" t="b">
        <f t="shared" ref="AK4:AK23" si="8">EXACT(AD4,J4)</f>
        <v>1</v>
      </c>
    </row>
    <row r="5" spans="2:37" x14ac:dyDescent="0.2">
      <c r="B5" s="15" t="s">
        <v>22</v>
      </c>
      <c r="C5" s="2">
        <v>1</v>
      </c>
      <c r="D5" s="10" t="s">
        <v>22</v>
      </c>
      <c r="E5" s="2">
        <v>1</v>
      </c>
      <c r="F5" s="10" t="s">
        <v>45</v>
      </c>
      <c r="G5" s="2" t="s">
        <v>50</v>
      </c>
      <c r="H5" s="2">
        <v>32</v>
      </c>
      <c r="I5" s="10" t="s">
        <v>13</v>
      </c>
      <c r="J5" s="16">
        <v>3</v>
      </c>
      <c r="L5" s="59"/>
      <c r="M5" s="55"/>
      <c r="N5" s="55">
        <f>+P5+P6</f>
        <v>3190</v>
      </c>
      <c r="O5" s="54">
        <f>+Q5+Q6</f>
        <v>0.2294468819679206</v>
      </c>
      <c r="P5" s="2">
        <v>990</v>
      </c>
      <c r="Q5" s="4">
        <f t="shared" si="0"/>
        <v>7.1207653024527084E-2</v>
      </c>
      <c r="R5" s="59"/>
      <c r="S5" s="55"/>
      <c r="T5" s="55">
        <f>+V5+V6</f>
        <v>165</v>
      </c>
      <c r="U5" s="54">
        <f>+W5+W6</f>
        <v>0.27049180327868855</v>
      </c>
      <c r="V5" s="2">
        <v>32</v>
      </c>
      <c r="W5" s="4">
        <f t="shared" si="1"/>
        <v>5.2459016393442623E-2</v>
      </c>
      <c r="X5" s="28">
        <f t="shared" si="2"/>
        <v>-1.8748636631084462E-2</v>
      </c>
      <c r="Y5" s="20" t="s">
        <v>22</v>
      </c>
      <c r="Z5" s="24">
        <v>1</v>
      </c>
      <c r="AA5" s="23" t="s">
        <v>22</v>
      </c>
      <c r="AB5" s="24">
        <v>1</v>
      </c>
      <c r="AC5" s="23" t="s">
        <v>13</v>
      </c>
      <c r="AD5" s="24">
        <v>3</v>
      </c>
      <c r="AF5" s="2" t="b">
        <f t="shared" si="3"/>
        <v>1</v>
      </c>
      <c r="AG5" s="2" t="b">
        <f t="shared" si="4"/>
        <v>1</v>
      </c>
      <c r="AH5" s="2" t="b">
        <f t="shared" si="5"/>
        <v>1</v>
      </c>
      <c r="AI5" s="2" t="b">
        <f t="shared" si="6"/>
        <v>1</v>
      </c>
      <c r="AJ5" s="2" t="b">
        <f t="shared" si="7"/>
        <v>1</v>
      </c>
      <c r="AK5" s="2" t="b">
        <f t="shared" si="8"/>
        <v>1</v>
      </c>
    </row>
    <row r="6" spans="2:37" x14ac:dyDescent="0.2">
      <c r="B6" s="15" t="s">
        <v>22</v>
      </c>
      <c r="C6" s="2">
        <v>1</v>
      </c>
      <c r="D6" s="10" t="s">
        <v>22</v>
      </c>
      <c r="E6" s="2">
        <v>1</v>
      </c>
      <c r="F6" s="10" t="s">
        <v>45</v>
      </c>
      <c r="G6" s="2" t="s">
        <v>50</v>
      </c>
      <c r="H6" s="2">
        <v>133</v>
      </c>
      <c r="I6" s="10" t="s">
        <v>12</v>
      </c>
      <c r="J6" s="16">
        <v>4</v>
      </c>
      <c r="K6" s="32"/>
      <c r="L6" s="59"/>
      <c r="M6" s="55"/>
      <c r="N6" s="55"/>
      <c r="O6" s="54"/>
      <c r="P6" s="2">
        <v>2200</v>
      </c>
      <c r="Q6" s="4">
        <f t="shared" si="0"/>
        <v>0.15823922894339351</v>
      </c>
      <c r="R6" s="59"/>
      <c r="S6" s="55"/>
      <c r="T6" s="55"/>
      <c r="U6" s="54"/>
      <c r="V6" s="2">
        <v>133</v>
      </c>
      <c r="W6" s="4">
        <f t="shared" si="1"/>
        <v>0.21803278688524591</v>
      </c>
      <c r="X6" s="28">
        <f t="shared" si="2"/>
        <v>5.9793557941852399E-2</v>
      </c>
      <c r="Y6" s="20" t="s">
        <v>22</v>
      </c>
      <c r="Z6" s="24">
        <v>1</v>
      </c>
      <c r="AA6" s="23" t="s">
        <v>22</v>
      </c>
      <c r="AB6" s="24">
        <v>1</v>
      </c>
      <c r="AC6" s="23" t="s">
        <v>12</v>
      </c>
      <c r="AD6" s="24">
        <v>4</v>
      </c>
      <c r="AF6" s="2" t="b">
        <f t="shared" si="3"/>
        <v>1</v>
      </c>
      <c r="AG6" s="2" t="b">
        <f t="shared" si="4"/>
        <v>1</v>
      </c>
      <c r="AH6" s="2" t="b">
        <f t="shared" si="5"/>
        <v>1</v>
      </c>
      <c r="AI6" s="2" t="b">
        <f t="shared" si="6"/>
        <v>1</v>
      </c>
      <c r="AJ6" s="2" t="b">
        <f t="shared" si="7"/>
        <v>1</v>
      </c>
      <c r="AK6" s="2" t="b">
        <f t="shared" si="8"/>
        <v>1</v>
      </c>
    </row>
    <row r="7" spans="2:37" x14ac:dyDescent="0.2">
      <c r="B7" s="15" t="s">
        <v>22</v>
      </c>
      <c r="C7" s="2">
        <v>1</v>
      </c>
      <c r="D7" s="10" t="s">
        <v>22</v>
      </c>
      <c r="E7" s="2">
        <v>1</v>
      </c>
      <c r="F7" s="48" t="s">
        <v>46</v>
      </c>
      <c r="G7" s="2" t="s">
        <v>51</v>
      </c>
      <c r="H7" s="2">
        <v>101</v>
      </c>
      <c r="I7" s="10" t="s">
        <v>11</v>
      </c>
      <c r="J7" s="16">
        <v>5</v>
      </c>
      <c r="L7" s="59"/>
      <c r="M7" s="55"/>
      <c r="N7" s="46">
        <f>+P7</f>
        <v>2055</v>
      </c>
      <c r="O7" s="52">
        <f>+Q7</f>
        <v>0.14780982521757893</v>
      </c>
      <c r="P7" s="2">
        <v>2055</v>
      </c>
      <c r="Q7" s="4">
        <f t="shared" si="0"/>
        <v>0.14780982521757893</v>
      </c>
      <c r="R7" s="59"/>
      <c r="S7" s="55"/>
      <c r="T7" s="46">
        <f>+V7</f>
        <v>101</v>
      </c>
      <c r="U7" s="52">
        <f>+W7</f>
        <v>0.16557377049180327</v>
      </c>
      <c r="V7" s="2">
        <v>101</v>
      </c>
      <c r="W7" s="4">
        <f t="shared" si="1"/>
        <v>0.16557377049180327</v>
      </c>
      <c r="X7" s="28">
        <f t="shared" si="2"/>
        <v>1.7763945274224341E-2</v>
      </c>
      <c r="Y7" s="20" t="s">
        <v>22</v>
      </c>
      <c r="Z7" s="24">
        <v>1</v>
      </c>
      <c r="AA7" s="23" t="s">
        <v>22</v>
      </c>
      <c r="AB7" s="24">
        <v>1</v>
      </c>
      <c r="AC7" s="23" t="s">
        <v>11</v>
      </c>
      <c r="AD7" s="24">
        <v>5</v>
      </c>
      <c r="AF7" s="2" t="b">
        <f t="shared" si="3"/>
        <v>1</v>
      </c>
      <c r="AG7" s="2" t="b">
        <f t="shared" si="4"/>
        <v>1</v>
      </c>
      <c r="AH7" s="2" t="b">
        <f t="shared" si="5"/>
        <v>1</v>
      </c>
      <c r="AI7" s="2" t="b">
        <f t="shared" si="6"/>
        <v>1</v>
      </c>
      <c r="AJ7" s="2" t="b">
        <f t="shared" si="7"/>
        <v>1</v>
      </c>
      <c r="AK7" s="2" t="b">
        <f t="shared" si="8"/>
        <v>1</v>
      </c>
    </row>
    <row r="8" spans="2:37" x14ac:dyDescent="0.2">
      <c r="B8" s="15" t="s">
        <v>22</v>
      </c>
      <c r="C8" s="2">
        <v>1</v>
      </c>
      <c r="D8" s="10" t="s">
        <v>22</v>
      </c>
      <c r="E8" s="2">
        <v>1</v>
      </c>
      <c r="F8" s="47" t="s">
        <v>47</v>
      </c>
      <c r="G8" s="2" t="s">
        <v>52</v>
      </c>
      <c r="H8" s="29">
        <v>30</v>
      </c>
      <c r="I8" s="10" t="s">
        <v>14</v>
      </c>
      <c r="J8" s="16">
        <v>6</v>
      </c>
      <c r="L8" s="59"/>
      <c r="M8" s="55"/>
      <c r="N8" s="55">
        <f>+P8+P9</f>
        <v>1062</v>
      </c>
      <c r="O8" s="54">
        <f>+Q8+Q9</f>
        <v>7.6386391426310873E-2</v>
      </c>
      <c r="P8" s="2">
        <v>580</v>
      </c>
      <c r="Q8" s="4">
        <f t="shared" si="0"/>
        <v>4.1717614903258288E-2</v>
      </c>
      <c r="R8" s="59"/>
      <c r="S8" s="55"/>
      <c r="T8" s="55">
        <f>+V8+V9</f>
        <v>46</v>
      </c>
      <c r="U8" s="54">
        <f>+W8+W9</f>
        <v>7.5409836065573776E-2</v>
      </c>
      <c r="V8" s="29">
        <v>30</v>
      </c>
      <c r="W8" s="4">
        <f t="shared" si="1"/>
        <v>4.9180327868852458E-2</v>
      </c>
      <c r="X8" s="28">
        <f t="shared" si="2"/>
        <v>7.4627129655941704E-3</v>
      </c>
      <c r="Y8" s="20" t="s">
        <v>22</v>
      </c>
      <c r="Z8" s="24">
        <v>1</v>
      </c>
      <c r="AA8" s="23" t="s">
        <v>22</v>
      </c>
      <c r="AB8" s="24">
        <v>1</v>
      </c>
      <c r="AC8" s="23" t="s">
        <v>14</v>
      </c>
      <c r="AD8" s="24">
        <v>6</v>
      </c>
      <c r="AF8" s="2" t="b">
        <f t="shared" si="3"/>
        <v>1</v>
      </c>
      <c r="AG8" s="2" t="b">
        <f t="shared" si="4"/>
        <v>1</v>
      </c>
      <c r="AH8" s="2" t="b">
        <f t="shared" si="5"/>
        <v>1</v>
      </c>
      <c r="AI8" s="2" t="b">
        <f t="shared" si="6"/>
        <v>1</v>
      </c>
      <c r="AJ8" s="2" t="b">
        <f t="shared" si="7"/>
        <v>1</v>
      </c>
      <c r="AK8" s="2" t="b">
        <f t="shared" si="8"/>
        <v>1</v>
      </c>
    </row>
    <row r="9" spans="2:37" x14ac:dyDescent="0.2">
      <c r="B9" s="15" t="s">
        <v>22</v>
      </c>
      <c r="C9" s="2">
        <v>1</v>
      </c>
      <c r="D9" s="10" t="s">
        <v>22</v>
      </c>
      <c r="E9" s="2">
        <v>1</v>
      </c>
      <c r="F9" s="47" t="s">
        <v>47</v>
      </c>
      <c r="G9" s="2" t="s">
        <v>52</v>
      </c>
      <c r="H9" s="30">
        <v>16</v>
      </c>
      <c r="I9" s="10" t="s">
        <v>5</v>
      </c>
      <c r="J9" s="16">
        <v>7</v>
      </c>
      <c r="L9" s="59"/>
      <c r="M9" s="55"/>
      <c r="N9" s="55"/>
      <c r="O9" s="54"/>
      <c r="P9" s="2">
        <v>482</v>
      </c>
      <c r="Q9" s="4">
        <f t="shared" si="0"/>
        <v>3.4668776523052579E-2</v>
      </c>
      <c r="R9" s="59"/>
      <c r="S9" s="55"/>
      <c r="T9" s="55"/>
      <c r="U9" s="54"/>
      <c r="V9" s="30">
        <v>16</v>
      </c>
      <c r="W9" s="4">
        <f t="shared" si="1"/>
        <v>2.6229508196721311E-2</v>
      </c>
      <c r="X9" s="28">
        <f t="shared" si="2"/>
        <v>-8.4392683263312673E-3</v>
      </c>
      <c r="Y9" s="20" t="s">
        <v>22</v>
      </c>
      <c r="Z9" s="24">
        <v>1</v>
      </c>
      <c r="AA9" s="23" t="s">
        <v>22</v>
      </c>
      <c r="AB9" s="24">
        <v>1</v>
      </c>
      <c r="AC9" s="23" t="s">
        <v>5</v>
      </c>
      <c r="AD9" s="24">
        <v>7</v>
      </c>
      <c r="AF9" s="2" t="b">
        <f t="shared" si="3"/>
        <v>1</v>
      </c>
      <c r="AG9" s="2" t="b">
        <f t="shared" si="4"/>
        <v>1</v>
      </c>
      <c r="AH9" s="2" t="b">
        <f t="shared" si="5"/>
        <v>1</v>
      </c>
      <c r="AI9" s="2" t="b">
        <f t="shared" si="6"/>
        <v>1</v>
      </c>
      <c r="AJ9" s="2" t="b">
        <f t="shared" si="7"/>
        <v>1</v>
      </c>
      <c r="AK9" s="2" t="b">
        <f t="shared" si="8"/>
        <v>1</v>
      </c>
    </row>
    <row r="10" spans="2:37" x14ac:dyDescent="0.2">
      <c r="B10" s="17" t="s">
        <v>37</v>
      </c>
      <c r="C10" s="2">
        <v>2</v>
      </c>
      <c r="D10" s="11" t="s">
        <v>23</v>
      </c>
      <c r="E10" s="2">
        <v>2</v>
      </c>
      <c r="F10" s="11" t="s">
        <v>23</v>
      </c>
      <c r="G10" s="2" t="s">
        <v>53</v>
      </c>
      <c r="H10" s="29">
        <v>20</v>
      </c>
      <c r="I10" s="11" t="s">
        <v>1</v>
      </c>
      <c r="J10" s="16">
        <v>8</v>
      </c>
      <c r="L10" s="59">
        <f>+M10+M15+M19+M21</f>
        <v>6204</v>
      </c>
      <c r="M10" s="55">
        <f>+P10+P11+P12+P13+P14</f>
        <v>2530</v>
      </c>
      <c r="N10" s="55">
        <f>+P10+P11+P12+P13+P14</f>
        <v>2530</v>
      </c>
      <c r="O10" s="57">
        <f>+M10/M24</f>
        <v>0.18197511328490254</v>
      </c>
      <c r="P10" s="2">
        <v>782</v>
      </c>
      <c r="Q10" s="4">
        <f t="shared" si="0"/>
        <v>5.6246853197151697E-2</v>
      </c>
      <c r="R10" s="59">
        <f>+S10+S15+S19+S21</f>
        <v>245</v>
      </c>
      <c r="S10" s="55">
        <f>+V10+V11+V12+V13+V14</f>
        <v>72</v>
      </c>
      <c r="T10" s="55">
        <f>+V10+V11+V12+V13+V14</f>
        <v>72</v>
      </c>
      <c r="U10" s="57">
        <f>+S10/S24</f>
        <v>0.11803278688524591</v>
      </c>
      <c r="V10" s="29">
        <v>20</v>
      </c>
      <c r="W10" s="4">
        <f t="shared" si="1"/>
        <v>3.2786885245901641E-2</v>
      </c>
      <c r="X10" s="28">
        <f t="shared" si="2"/>
        <v>-2.3459967951250056E-2</v>
      </c>
      <c r="Y10" s="20" t="s">
        <v>37</v>
      </c>
      <c r="Z10" s="24">
        <v>2</v>
      </c>
      <c r="AA10" s="23" t="s">
        <v>23</v>
      </c>
      <c r="AB10" s="24">
        <v>2</v>
      </c>
      <c r="AC10" s="23" t="s">
        <v>1</v>
      </c>
      <c r="AD10" s="24">
        <v>8</v>
      </c>
      <c r="AF10" s="2" t="b">
        <f t="shared" si="3"/>
        <v>1</v>
      </c>
      <c r="AG10" s="2" t="b">
        <f t="shared" si="4"/>
        <v>1</v>
      </c>
      <c r="AH10" s="2" t="b">
        <f t="shared" si="5"/>
        <v>1</v>
      </c>
      <c r="AI10" s="2" t="b">
        <f t="shared" si="6"/>
        <v>1</v>
      </c>
      <c r="AJ10" s="2" t="b">
        <f t="shared" si="7"/>
        <v>1</v>
      </c>
      <c r="AK10" s="2" t="b">
        <f t="shared" si="8"/>
        <v>1</v>
      </c>
    </row>
    <row r="11" spans="2:37" x14ac:dyDescent="0.2">
      <c r="B11" s="17" t="s">
        <v>37</v>
      </c>
      <c r="C11" s="2">
        <v>2</v>
      </c>
      <c r="D11" s="11" t="s">
        <v>23</v>
      </c>
      <c r="E11" s="2">
        <v>2</v>
      </c>
      <c r="F11" s="11" t="s">
        <v>23</v>
      </c>
      <c r="G11" s="2" t="s">
        <v>53</v>
      </c>
      <c r="H11" s="30">
        <v>10</v>
      </c>
      <c r="I11" s="11" t="s">
        <v>17</v>
      </c>
      <c r="J11" s="16">
        <v>9</v>
      </c>
      <c r="L11" s="59"/>
      <c r="M11" s="55"/>
      <c r="N11" s="55"/>
      <c r="O11" s="57"/>
      <c r="P11" s="2">
        <v>405</v>
      </c>
      <c r="Q11" s="4">
        <f t="shared" si="0"/>
        <v>2.9130403510033806E-2</v>
      </c>
      <c r="R11" s="59"/>
      <c r="S11" s="55"/>
      <c r="T11" s="55"/>
      <c r="U11" s="57"/>
      <c r="V11" s="30">
        <v>10</v>
      </c>
      <c r="W11" s="4">
        <f t="shared" si="1"/>
        <v>1.6393442622950821E-2</v>
      </c>
      <c r="X11" s="28">
        <f t="shared" si="2"/>
        <v>-1.2736960887082985E-2</v>
      </c>
      <c r="Y11" s="20" t="s">
        <v>37</v>
      </c>
      <c r="Z11" s="24">
        <v>2</v>
      </c>
      <c r="AA11" s="23" t="s">
        <v>23</v>
      </c>
      <c r="AB11" s="24">
        <v>2</v>
      </c>
      <c r="AC11" s="23" t="s">
        <v>17</v>
      </c>
      <c r="AD11" s="24">
        <v>9</v>
      </c>
      <c r="AF11" s="2" t="b">
        <f t="shared" si="3"/>
        <v>1</v>
      </c>
      <c r="AG11" s="2" t="b">
        <f t="shared" si="4"/>
        <v>1</v>
      </c>
      <c r="AH11" s="2" t="b">
        <f t="shared" si="5"/>
        <v>1</v>
      </c>
      <c r="AI11" s="2" t="b">
        <f t="shared" si="6"/>
        <v>1</v>
      </c>
      <c r="AJ11" s="2" t="b">
        <f t="shared" si="7"/>
        <v>1</v>
      </c>
      <c r="AK11" s="2" t="b">
        <f t="shared" si="8"/>
        <v>1</v>
      </c>
    </row>
    <row r="12" spans="2:37" x14ac:dyDescent="0.2">
      <c r="B12" s="17" t="s">
        <v>37</v>
      </c>
      <c r="C12" s="2">
        <v>2</v>
      </c>
      <c r="D12" s="11" t="s">
        <v>23</v>
      </c>
      <c r="E12" s="2">
        <v>2</v>
      </c>
      <c r="F12" s="11" t="s">
        <v>23</v>
      </c>
      <c r="G12" s="2" t="s">
        <v>53</v>
      </c>
      <c r="H12" s="29">
        <v>23</v>
      </c>
      <c r="I12" s="11" t="s">
        <v>16</v>
      </c>
      <c r="J12" s="16">
        <v>10</v>
      </c>
      <c r="L12" s="59"/>
      <c r="M12" s="55"/>
      <c r="N12" s="55"/>
      <c r="O12" s="57"/>
      <c r="P12" s="2">
        <v>659</v>
      </c>
      <c r="Q12" s="4">
        <f t="shared" si="0"/>
        <v>4.7399841760771055E-2</v>
      </c>
      <c r="R12" s="59"/>
      <c r="S12" s="55"/>
      <c r="T12" s="55"/>
      <c r="U12" s="57"/>
      <c r="V12" s="29">
        <v>23</v>
      </c>
      <c r="W12" s="4">
        <f t="shared" si="1"/>
        <v>3.7704918032786888E-2</v>
      </c>
      <c r="X12" s="28">
        <f t="shared" si="2"/>
        <v>-9.6949237279841671E-3</v>
      </c>
      <c r="Y12" s="20" t="s">
        <v>37</v>
      </c>
      <c r="Z12" s="24">
        <v>2</v>
      </c>
      <c r="AA12" s="23" t="s">
        <v>23</v>
      </c>
      <c r="AB12" s="24">
        <v>2</v>
      </c>
      <c r="AC12" s="23" t="s">
        <v>16</v>
      </c>
      <c r="AD12" s="24">
        <v>10</v>
      </c>
      <c r="AF12" s="2" t="b">
        <f t="shared" si="3"/>
        <v>1</v>
      </c>
      <c r="AG12" s="2" t="b">
        <f t="shared" si="4"/>
        <v>1</v>
      </c>
      <c r="AH12" s="2" t="b">
        <f t="shared" si="5"/>
        <v>1</v>
      </c>
      <c r="AI12" s="2" t="b">
        <f t="shared" si="6"/>
        <v>1</v>
      </c>
      <c r="AJ12" s="2" t="b">
        <f t="shared" si="7"/>
        <v>1</v>
      </c>
      <c r="AK12" s="2" t="b">
        <f t="shared" si="8"/>
        <v>1</v>
      </c>
    </row>
    <row r="13" spans="2:37" x14ac:dyDescent="0.2">
      <c r="B13" s="17" t="s">
        <v>37</v>
      </c>
      <c r="C13" s="2">
        <v>2</v>
      </c>
      <c r="D13" s="11" t="s">
        <v>23</v>
      </c>
      <c r="E13" s="2">
        <v>2</v>
      </c>
      <c r="F13" s="11" t="s">
        <v>23</v>
      </c>
      <c r="G13" s="2" t="s">
        <v>53</v>
      </c>
      <c r="H13" s="30">
        <v>12</v>
      </c>
      <c r="I13" s="11" t="s">
        <v>18</v>
      </c>
      <c r="J13" s="16">
        <v>11</v>
      </c>
      <c r="L13" s="59"/>
      <c r="M13" s="55"/>
      <c r="N13" s="55"/>
      <c r="O13" s="57"/>
      <c r="P13" s="2">
        <v>410</v>
      </c>
      <c r="Q13" s="4">
        <f t="shared" si="0"/>
        <v>2.949003812126879E-2</v>
      </c>
      <c r="R13" s="59"/>
      <c r="S13" s="55"/>
      <c r="T13" s="55"/>
      <c r="U13" s="57"/>
      <c r="V13" s="30">
        <v>12</v>
      </c>
      <c r="W13" s="4">
        <f t="shared" si="1"/>
        <v>1.9672131147540985E-2</v>
      </c>
      <c r="X13" s="28">
        <f t="shared" si="2"/>
        <v>-9.8179069737278045E-3</v>
      </c>
      <c r="Y13" s="20" t="s">
        <v>37</v>
      </c>
      <c r="Z13" s="24">
        <v>2</v>
      </c>
      <c r="AA13" s="23" t="s">
        <v>23</v>
      </c>
      <c r="AB13" s="24">
        <v>2</v>
      </c>
      <c r="AC13" s="23" t="s">
        <v>18</v>
      </c>
      <c r="AD13" s="24">
        <v>11</v>
      </c>
      <c r="AF13" s="2" t="b">
        <f t="shared" si="3"/>
        <v>1</v>
      </c>
      <c r="AG13" s="2" t="b">
        <f t="shared" si="4"/>
        <v>1</v>
      </c>
      <c r="AH13" s="2" t="b">
        <f t="shared" si="5"/>
        <v>1</v>
      </c>
      <c r="AI13" s="2" t="b">
        <f t="shared" si="6"/>
        <v>1</v>
      </c>
      <c r="AJ13" s="2" t="b">
        <f t="shared" si="7"/>
        <v>1</v>
      </c>
      <c r="AK13" s="2" t="b">
        <f t="shared" si="8"/>
        <v>1</v>
      </c>
    </row>
    <row r="14" spans="2:37" x14ac:dyDescent="0.2">
      <c r="B14" s="17" t="s">
        <v>37</v>
      </c>
      <c r="C14" s="2">
        <v>2</v>
      </c>
      <c r="D14" s="11" t="s">
        <v>23</v>
      </c>
      <c r="E14" s="2">
        <v>2</v>
      </c>
      <c r="F14" s="11" t="s">
        <v>23</v>
      </c>
      <c r="G14" s="2" t="s">
        <v>53</v>
      </c>
      <c r="H14" s="31">
        <v>7</v>
      </c>
      <c r="I14" s="11" t="s">
        <v>7</v>
      </c>
      <c r="J14" s="16">
        <v>12</v>
      </c>
      <c r="L14" s="59"/>
      <c r="M14" s="55"/>
      <c r="N14" s="55"/>
      <c r="O14" s="57"/>
      <c r="P14" s="2">
        <v>274</v>
      </c>
      <c r="Q14" s="4">
        <f t="shared" si="0"/>
        <v>1.9707976695677192E-2</v>
      </c>
      <c r="R14" s="59"/>
      <c r="S14" s="55"/>
      <c r="T14" s="55"/>
      <c r="U14" s="57"/>
      <c r="V14" s="31">
        <v>7</v>
      </c>
      <c r="W14" s="4">
        <f t="shared" si="1"/>
        <v>1.1475409836065573E-2</v>
      </c>
      <c r="X14" s="28">
        <f t="shared" si="2"/>
        <v>-8.2325668596116182E-3</v>
      </c>
      <c r="Y14" s="20" t="s">
        <v>37</v>
      </c>
      <c r="Z14" s="24">
        <v>2</v>
      </c>
      <c r="AA14" s="23" t="s">
        <v>23</v>
      </c>
      <c r="AB14" s="24">
        <v>2</v>
      </c>
      <c r="AC14" s="23" t="s">
        <v>7</v>
      </c>
      <c r="AD14" s="24">
        <v>12</v>
      </c>
      <c r="AF14" s="2" t="b">
        <f t="shared" si="3"/>
        <v>1</v>
      </c>
      <c r="AG14" s="2" t="b">
        <f t="shared" si="4"/>
        <v>1</v>
      </c>
      <c r="AH14" s="2" t="b">
        <f t="shared" si="5"/>
        <v>1</v>
      </c>
      <c r="AI14" s="2" t="b">
        <f t="shared" si="6"/>
        <v>1</v>
      </c>
      <c r="AJ14" s="2" t="b">
        <f t="shared" si="7"/>
        <v>1</v>
      </c>
      <c r="AK14" s="2" t="b">
        <f t="shared" si="8"/>
        <v>1</v>
      </c>
    </row>
    <row r="15" spans="2:37" x14ac:dyDescent="0.2">
      <c r="B15" s="17" t="s">
        <v>37</v>
      </c>
      <c r="C15" s="2">
        <v>2</v>
      </c>
      <c r="D15" s="12" t="s">
        <v>24</v>
      </c>
      <c r="E15" s="2">
        <v>3</v>
      </c>
      <c r="F15" s="12" t="s">
        <v>24</v>
      </c>
      <c r="G15" s="2" t="s">
        <v>54</v>
      </c>
      <c r="H15" s="29">
        <v>25</v>
      </c>
      <c r="I15" s="12" t="s">
        <v>20</v>
      </c>
      <c r="J15" s="16">
        <v>13</v>
      </c>
      <c r="L15" s="59"/>
      <c r="M15" s="55">
        <f>+P15+P16+P17+P18</f>
        <v>1621</v>
      </c>
      <c r="N15" s="55">
        <f>+P15+P16+P17+P18</f>
        <v>1621</v>
      </c>
      <c r="O15" s="57">
        <f>+M15/M24</f>
        <v>0.11659354096238222</v>
      </c>
      <c r="P15" s="2">
        <v>651</v>
      </c>
      <c r="Q15" s="4">
        <f t="shared" si="0"/>
        <v>4.6824426382795083E-2</v>
      </c>
      <c r="R15" s="59"/>
      <c r="S15" s="55">
        <f>+V15+V16+V17+V18</f>
        <v>69</v>
      </c>
      <c r="T15" s="55">
        <f>+V15+V16+V17+V18</f>
        <v>69</v>
      </c>
      <c r="U15" s="57">
        <f>+S15/S24</f>
        <v>0.11311475409836065</v>
      </c>
      <c r="V15" s="29">
        <v>25</v>
      </c>
      <c r="W15" s="4">
        <f t="shared" si="1"/>
        <v>4.0983606557377046E-2</v>
      </c>
      <c r="X15" s="28">
        <f t="shared" si="2"/>
        <v>-5.8408198254180366E-3</v>
      </c>
      <c r="Y15" s="20" t="s">
        <v>37</v>
      </c>
      <c r="Z15" s="24">
        <v>2</v>
      </c>
      <c r="AA15" s="23" t="s">
        <v>24</v>
      </c>
      <c r="AB15" s="24">
        <v>3</v>
      </c>
      <c r="AC15" s="23" t="s">
        <v>20</v>
      </c>
      <c r="AD15" s="24">
        <v>13</v>
      </c>
      <c r="AF15" s="2" t="b">
        <f t="shared" si="3"/>
        <v>1</v>
      </c>
      <c r="AG15" s="2" t="b">
        <f t="shared" si="4"/>
        <v>1</v>
      </c>
      <c r="AH15" s="2" t="b">
        <f t="shared" si="5"/>
        <v>1</v>
      </c>
      <c r="AI15" s="2" t="b">
        <f t="shared" si="6"/>
        <v>1</v>
      </c>
      <c r="AJ15" s="2" t="b">
        <f t="shared" si="7"/>
        <v>1</v>
      </c>
      <c r="AK15" s="2" t="b">
        <f t="shared" si="8"/>
        <v>1</v>
      </c>
    </row>
    <row r="16" spans="2:37" x14ac:dyDescent="0.2">
      <c r="B16" s="17" t="s">
        <v>37</v>
      </c>
      <c r="C16" s="2">
        <v>2</v>
      </c>
      <c r="D16" s="12" t="s">
        <v>24</v>
      </c>
      <c r="E16" s="2">
        <v>3</v>
      </c>
      <c r="F16" s="12" t="s">
        <v>24</v>
      </c>
      <c r="G16" s="2" t="s">
        <v>54</v>
      </c>
      <c r="H16" s="29">
        <v>27</v>
      </c>
      <c r="I16" s="12" t="s">
        <v>6</v>
      </c>
      <c r="J16" s="16">
        <v>14</v>
      </c>
      <c r="L16" s="59"/>
      <c r="M16" s="55"/>
      <c r="N16" s="55"/>
      <c r="O16" s="57"/>
      <c r="P16" s="2">
        <v>479</v>
      </c>
      <c r="Q16" s="4">
        <f t="shared" si="0"/>
        <v>3.445299575631159E-2</v>
      </c>
      <c r="R16" s="59"/>
      <c r="S16" s="55"/>
      <c r="T16" s="55"/>
      <c r="U16" s="57"/>
      <c r="V16" s="29">
        <v>27</v>
      </c>
      <c r="W16" s="4">
        <f t="shared" si="1"/>
        <v>4.4262295081967211E-2</v>
      </c>
      <c r="X16" s="28">
        <f t="shared" si="2"/>
        <v>9.809299325655621E-3</v>
      </c>
      <c r="Y16" s="20" t="s">
        <v>37</v>
      </c>
      <c r="Z16" s="24">
        <v>2</v>
      </c>
      <c r="AA16" s="23" t="s">
        <v>24</v>
      </c>
      <c r="AB16" s="24">
        <v>3</v>
      </c>
      <c r="AC16" s="23" t="s">
        <v>6</v>
      </c>
      <c r="AD16" s="24">
        <v>14</v>
      </c>
      <c r="AF16" s="2" t="b">
        <f t="shared" si="3"/>
        <v>1</v>
      </c>
      <c r="AG16" s="2" t="b">
        <f t="shared" si="4"/>
        <v>1</v>
      </c>
      <c r="AH16" s="2" t="b">
        <f t="shared" si="5"/>
        <v>1</v>
      </c>
      <c r="AI16" s="2" t="b">
        <f t="shared" si="6"/>
        <v>1</v>
      </c>
      <c r="AJ16" s="2" t="b">
        <f t="shared" si="7"/>
        <v>1</v>
      </c>
      <c r="AK16" s="2" t="b">
        <f t="shared" si="8"/>
        <v>1</v>
      </c>
    </row>
    <row r="17" spans="2:37" x14ac:dyDescent="0.2">
      <c r="B17" s="17" t="s">
        <v>37</v>
      </c>
      <c r="C17" s="2">
        <v>2</v>
      </c>
      <c r="D17" s="12" t="s">
        <v>24</v>
      </c>
      <c r="E17" s="2">
        <v>3</v>
      </c>
      <c r="F17" s="12" t="s">
        <v>24</v>
      </c>
      <c r="G17" s="2" t="s">
        <v>54</v>
      </c>
      <c r="H17" s="31">
        <v>9</v>
      </c>
      <c r="I17" s="12" t="s">
        <v>21</v>
      </c>
      <c r="J17" s="16">
        <v>15</v>
      </c>
      <c r="L17" s="59"/>
      <c r="M17" s="55"/>
      <c r="N17" s="55"/>
      <c r="O17" s="57"/>
      <c r="P17" s="2">
        <v>159</v>
      </c>
      <c r="Q17" s="4">
        <f t="shared" si="0"/>
        <v>1.1436380637272531E-2</v>
      </c>
      <c r="R17" s="59"/>
      <c r="S17" s="55"/>
      <c r="T17" s="55"/>
      <c r="U17" s="57"/>
      <c r="V17" s="31">
        <v>9</v>
      </c>
      <c r="W17" s="4">
        <f t="shared" si="1"/>
        <v>1.4754098360655738E-2</v>
      </c>
      <c r="X17" s="28">
        <f t="shared" si="2"/>
        <v>3.317717723383207E-3</v>
      </c>
      <c r="Y17" s="20" t="s">
        <v>37</v>
      </c>
      <c r="Z17" s="24">
        <v>2</v>
      </c>
      <c r="AA17" s="23" t="s">
        <v>24</v>
      </c>
      <c r="AB17" s="24">
        <v>3</v>
      </c>
      <c r="AC17" s="23" t="s">
        <v>21</v>
      </c>
      <c r="AD17" s="24">
        <v>15</v>
      </c>
      <c r="AF17" s="2" t="b">
        <f t="shared" si="3"/>
        <v>1</v>
      </c>
      <c r="AG17" s="2" t="b">
        <f t="shared" si="4"/>
        <v>1</v>
      </c>
      <c r="AH17" s="2" t="b">
        <f t="shared" si="5"/>
        <v>1</v>
      </c>
      <c r="AI17" s="2" t="b">
        <f t="shared" si="6"/>
        <v>1</v>
      </c>
      <c r="AJ17" s="2" t="b">
        <f t="shared" si="7"/>
        <v>1</v>
      </c>
      <c r="AK17" s="2" t="b">
        <f t="shared" si="8"/>
        <v>1</v>
      </c>
    </row>
    <row r="18" spans="2:37" x14ac:dyDescent="0.2">
      <c r="B18" s="17" t="s">
        <v>37</v>
      </c>
      <c r="C18" s="2">
        <v>2</v>
      </c>
      <c r="D18" s="12" t="s">
        <v>24</v>
      </c>
      <c r="E18" s="2">
        <v>3</v>
      </c>
      <c r="F18" s="12" t="s">
        <v>24</v>
      </c>
      <c r="G18" s="2" t="s">
        <v>54</v>
      </c>
      <c r="H18" s="31">
        <v>8</v>
      </c>
      <c r="I18" s="12" t="s">
        <v>4</v>
      </c>
      <c r="J18" s="16">
        <v>16</v>
      </c>
      <c r="L18" s="59"/>
      <c r="M18" s="55"/>
      <c r="N18" s="55"/>
      <c r="O18" s="57"/>
      <c r="P18" s="2">
        <v>332</v>
      </c>
      <c r="Q18" s="4">
        <f t="shared" si="0"/>
        <v>2.387973818600302E-2</v>
      </c>
      <c r="R18" s="59"/>
      <c r="S18" s="55"/>
      <c r="T18" s="55"/>
      <c r="U18" s="57"/>
      <c r="V18" s="31">
        <v>8</v>
      </c>
      <c r="W18" s="4">
        <f t="shared" si="1"/>
        <v>1.3114754098360656E-2</v>
      </c>
      <c r="X18" s="28">
        <f t="shared" si="2"/>
        <v>-1.0764984087642364E-2</v>
      </c>
      <c r="Y18" s="20" t="s">
        <v>37</v>
      </c>
      <c r="Z18" s="24">
        <v>2</v>
      </c>
      <c r="AA18" s="23" t="s">
        <v>24</v>
      </c>
      <c r="AB18" s="24">
        <v>3</v>
      </c>
      <c r="AC18" s="23" t="s">
        <v>4</v>
      </c>
      <c r="AD18" s="24">
        <v>16</v>
      </c>
      <c r="AF18" s="2" t="b">
        <f t="shared" si="3"/>
        <v>1</v>
      </c>
      <c r="AG18" s="2" t="b">
        <f t="shared" si="4"/>
        <v>1</v>
      </c>
      <c r="AH18" s="2" t="b">
        <f t="shared" si="5"/>
        <v>1</v>
      </c>
      <c r="AI18" s="2" t="b">
        <f t="shared" si="6"/>
        <v>1</v>
      </c>
      <c r="AJ18" s="2" t="b">
        <f t="shared" si="7"/>
        <v>1</v>
      </c>
      <c r="AK18" s="2" t="b">
        <f t="shared" si="8"/>
        <v>1</v>
      </c>
    </row>
    <row r="19" spans="2:37" x14ac:dyDescent="0.2">
      <c r="B19" s="17" t="s">
        <v>37</v>
      </c>
      <c r="C19" s="2">
        <v>2</v>
      </c>
      <c r="D19" s="13" t="s">
        <v>26</v>
      </c>
      <c r="E19" s="2">
        <v>4</v>
      </c>
      <c r="F19" s="13" t="s">
        <v>26</v>
      </c>
      <c r="G19" s="2" t="s">
        <v>55</v>
      </c>
      <c r="H19" s="2">
        <v>41</v>
      </c>
      <c r="I19" s="13" t="s">
        <v>8</v>
      </c>
      <c r="J19" s="16">
        <v>17</v>
      </c>
      <c r="L19" s="59"/>
      <c r="M19" s="55">
        <f>+P19+P20</f>
        <v>1034</v>
      </c>
      <c r="N19" s="55">
        <f>+P19+P20</f>
        <v>1034</v>
      </c>
      <c r="O19" s="57">
        <f>+M19/M24</f>
        <v>7.4372437603394945E-2</v>
      </c>
      <c r="P19" s="2">
        <v>577</v>
      </c>
      <c r="Q19" s="4">
        <f t="shared" si="0"/>
        <v>4.1501834136517299E-2</v>
      </c>
      <c r="R19" s="59"/>
      <c r="S19" s="55">
        <f>+V19+V20</f>
        <v>56</v>
      </c>
      <c r="T19" s="55">
        <f>+V19+V20</f>
        <v>56</v>
      </c>
      <c r="U19" s="57">
        <f>+S19/S24</f>
        <v>9.1803278688524587E-2</v>
      </c>
      <c r="V19" s="2">
        <v>41</v>
      </c>
      <c r="W19" s="4">
        <f t="shared" si="1"/>
        <v>6.7213114754098358E-2</v>
      </c>
      <c r="X19" s="28">
        <f t="shared" si="2"/>
        <v>2.5711280617581059E-2</v>
      </c>
      <c r="Y19" s="20" t="s">
        <v>37</v>
      </c>
      <c r="Z19" s="24">
        <v>2</v>
      </c>
      <c r="AA19" s="23" t="s">
        <v>26</v>
      </c>
      <c r="AB19" s="24">
        <v>4</v>
      </c>
      <c r="AC19" s="23" t="s">
        <v>8</v>
      </c>
      <c r="AD19" s="24">
        <v>17</v>
      </c>
      <c r="AF19" s="2" t="b">
        <f t="shared" si="3"/>
        <v>1</v>
      </c>
      <c r="AG19" s="2" t="b">
        <f t="shared" si="4"/>
        <v>1</v>
      </c>
      <c r="AH19" s="2" t="b">
        <f t="shared" si="5"/>
        <v>1</v>
      </c>
      <c r="AI19" s="2" t="b">
        <f t="shared" si="6"/>
        <v>1</v>
      </c>
      <c r="AJ19" s="2" t="b">
        <f t="shared" si="7"/>
        <v>1</v>
      </c>
      <c r="AK19" s="2" t="b">
        <f t="shared" si="8"/>
        <v>1</v>
      </c>
    </row>
    <row r="20" spans="2:37" x14ac:dyDescent="0.2">
      <c r="B20" s="17" t="s">
        <v>37</v>
      </c>
      <c r="C20" s="2">
        <v>2</v>
      </c>
      <c r="D20" s="13" t="s">
        <v>26</v>
      </c>
      <c r="E20" s="2">
        <v>4</v>
      </c>
      <c r="F20" s="13" t="s">
        <v>26</v>
      </c>
      <c r="G20" s="2" t="s">
        <v>55</v>
      </c>
      <c r="H20" s="30">
        <v>15</v>
      </c>
      <c r="I20" s="13" t="s">
        <v>19</v>
      </c>
      <c r="J20" s="16">
        <v>18</v>
      </c>
      <c r="L20" s="59"/>
      <c r="M20" s="55"/>
      <c r="N20" s="55"/>
      <c r="O20" s="57"/>
      <c r="P20" s="2">
        <v>457</v>
      </c>
      <c r="Q20" s="4">
        <f t="shared" si="0"/>
        <v>3.2870603466877653E-2</v>
      </c>
      <c r="R20" s="59"/>
      <c r="S20" s="55"/>
      <c r="T20" s="55"/>
      <c r="U20" s="57"/>
      <c r="V20" s="30">
        <v>15</v>
      </c>
      <c r="W20" s="4">
        <f t="shared" si="1"/>
        <v>2.4590163934426229E-2</v>
      </c>
      <c r="X20" s="28">
        <f t="shared" si="2"/>
        <v>-8.2804395324514238E-3</v>
      </c>
      <c r="Y20" s="20" t="s">
        <v>37</v>
      </c>
      <c r="Z20" s="24">
        <v>2</v>
      </c>
      <c r="AA20" s="23" t="s">
        <v>26</v>
      </c>
      <c r="AB20" s="24">
        <v>4</v>
      </c>
      <c r="AC20" s="23" t="s">
        <v>19</v>
      </c>
      <c r="AD20" s="24">
        <v>18</v>
      </c>
      <c r="AF20" s="2" t="b">
        <f t="shared" si="3"/>
        <v>1</v>
      </c>
      <c r="AG20" s="2" t="b">
        <f t="shared" si="4"/>
        <v>1</v>
      </c>
      <c r="AH20" s="2" t="b">
        <f t="shared" si="5"/>
        <v>1</v>
      </c>
      <c r="AI20" s="2" t="b">
        <f t="shared" si="6"/>
        <v>1</v>
      </c>
      <c r="AJ20" s="2" t="b">
        <f t="shared" si="7"/>
        <v>1</v>
      </c>
      <c r="AK20" s="2" t="b">
        <f t="shared" si="8"/>
        <v>1</v>
      </c>
    </row>
    <row r="21" spans="2:37" x14ac:dyDescent="0.2">
      <c r="B21" s="17" t="s">
        <v>37</v>
      </c>
      <c r="C21" s="2">
        <v>2</v>
      </c>
      <c r="D21" s="14" t="s">
        <v>25</v>
      </c>
      <c r="E21" s="2">
        <v>5</v>
      </c>
      <c r="F21" s="14" t="s">
        <v>25</v>
      </c>
      <c r="G21" s="2" t="s">
        <v>56</v>
      </c>
      <c r="H21" s="29">
        <v>21</v>
      </c>
      <c r="I21" s="14" t="s">
        <v>15</v>
      </c>
      <c r="J21" s="16">
        <v>19</v>
      </c>
      <c r="L21" s="59"/>
      <c r="M21" s="55">
        <f>+P21+P22+P23</f>
        <v>1019</v>
      </c>
      <c r="N21" s="55">
        <f>+P21+P22+P23</f>
        <v>1019</v>
      </c>
      <c r="O21" s="57">
        <f>+M21/M24</f>
        <v>7.329353376969E-2</v>
      </c>
      <c r="P21" s="2">
        <v>489</v>
      </c>
      <c r="Q21" s="4">
        <f t="shared" si="0"/>
        <v>3.5172264978781557E-2</v>
      </c>
      <c r="R21" s="59"/>
      <c r="S21" s="55">
        <f>+V21+V22+V23</f>
        <v>48</v>
      </c>
      <c r="T21" s="55">
        <f>+V21+V22+V23</f>
        <v>48</v>
      </c>
      <c r="U21" s="57">
        <f>+S21/S24</f>
        <v>7.8688524590163941E-2</v>
      </c>
      <c r="V21" s="29">
        <v>21</v>
      </c>
      <c r="W21" s="4">
        <f t="shared" si="1"/>
        <v>3.4426229508196723E-2</v>
      </c>
      <c r="X21" s="28">
        <f t="shared" si="2"/>
        <v>-7.4603547058483405E-4</v>
      </c>
      <c r="Y21" s="20" t="s">
        <v>37</v>
      </c>
      <c r="Z21" s="24">
        <v>2</v>
      </c>
      <c r="AA21" s="23" t="s">
        <v>25</v>
      </c>
      <c r="AB21" s="24">
        <v>5</v>
      </c>
      <c r="AC21" s="23" t="s">
        <v>15</v>
      </c>
      <c r="AD21" s="24">
        <v>19</v>
      </c>
      <c r="AF21" s="2" t="b">
        <f t="shared" si="3"/>
        <v>1</v>
      </c>
      <c r="AG21" s="2" t="b">
        <f t="shared" si="4"/>
        <v>1</v>
      </c>
      <c r="AH21" s="2" t="b">
        <f t="shared" si="5"/>
        <v>1</v>
      </c>
      <c r="AI21" s="2" t="b">
        <f t="shared" si="6"/>
        <v>1</v>
      </c>
      <c r="AJ21" s="2" t="b">
        <f t="shared" si="7"/>
        <v>1</v>
      </c>
      <c r="AK21" s="2" t="b">
        <f t="shared" si="8"/>
        <v>1</v>
      </c>
    </row>
    <row r="22" spans="2:37" x14ac:dyDescent="0.2">
      <c r="B22" s="17" t="s">
        <v>37</v>
      </c>
      <c r="C22" s="2">
        <v>2</v>
      </c>
      <c r="D22" s="14" t="s">
        <v>25</v>
      </c>
      <c r="E22" s="2">
        <v>5</v>
      </c>
      <c r="F22" s="14" t="s">
        <v>25</v>
      </c>
      <c r="G22" s="70" t="s">
        <v>56</v>
      </c>
      <c r="H22" s="29">
        <v>21</v>
      </c>
      <c r="I22" s="14" t="s">
        <v>2</v>
      </c>
      <c r="J22" s="16">
        <v>20</v>
      </c>
      <c r="L22" s="59"/>
      <c r="M22" s="55"/>
      <c r="N22" s="55"/>
      <c r="O22" s="57"/>
      <c r="P22" s="2">
        <v>435</v>
      </c>
      <c r="Q22" s="4">
        <f t="shared" si="0"/>
        <v>3.1288211177443716E-2</v>
      </c>
      <c r="R22" s="59"/>
      <c r="S22" s="55"/>
      <c r="T22" s="55"/>
      <c r="U22" s="57"/>
      <c r="V22" s="29">
        <v>21</v>
      </c>
      <c r="W22" s="4">
        <f t="shared" si="1"/>
        <v>3.4426229508196723E-2</v>
      </c>
      <c r="X22" s="28">
        <f t="shared" si="2"/>
        <v>3.1380183307530077E-3</v>
      </c>
      <c r="Y22" s="20" t="s">
        <v>37</v>
      </c>
      <c r="Z22" s="24">
        <v>2</v>
      </c>
      <c r="AA22" s="23" t="s">
        <v>25</v>
      </c>
      <c r="AB22" s="24">
        <v>5</v>
      </c>
      <c r="AC22" s="23" t="s">
        <v>2</v>
      </c>
      <c r="AD22" s="24">
        <v>20</v>
      </c>
      <c r="AF22" s="2" t="b">
        <f t="shared" si="3"/>
        <v>1</v>
      </c>
      <c r="AG22" s="2" t="b">
        <f t="shared" si="4"/>
        <v>1</v>
      </c>
      <c r="AH22" s="2" t="b">
        <f t="shared" si="5"/>
        <v>1</v>
      </c>
      <c r="AI22" s="2" t="b">
        <f t="shared" si="6"/>
        <v>1</v>
      </c>
      <c r="AJ22" s="2" t="b">
        <f t="shared" si="7"/>
        <v>1</v>
      </c>
      <c r="AK22" s="2" t="b">
        <f t="shared" si="8"/>
        <v>1</v>
      </c>
    </row>
    <row r="23" spans="2:37" ht="16" thickBot="1" x14ac:dyDescent="0.25">
      <c r="B23" s="18" t="s">
        <v>37</v>
      </c>
      <c r="C23" s="3">
        <v>2</v>
      </c>
      <c r="D23" s="9" t="s">
        <v>25</v>
      </c>
      <c r="E23" s="3">
        <v>5</v>
      </c>
      <c r="F23" s="9" t="s">
        <v>25</v>
      </c>
      <c r="G23" s="3" t="s">
        <v>56</v>
      </c>
      <c r="H23" s="26">
        <v>6</v>
      </c>
      <c r="I23" s="9" t="s">
        <v>10</v>
      </c>
      <c r="J23" s="19">
        <v>21</v>
      </c>
      <c r="L23" s="60"/>
      <c r="M23" s="56"/>
      <c r="N23" s="56"/>
      <c r="O23" s="58"/>
      <c r="P23" s="3">
        <v>95</v>
      </c>
      <c r="Q23" s="5">
        <f t="shared" si="0"/>
        <v>6.83305761346472E-3</v>
      </c>
      <c r="R23" s="60"/>
      <c r="S23" s="56"/>
      <c r="T23" s="56"/>
      <c r="U23" s="58"/>
      <c r="V23" s="26">
        <v>6</v>
      </c>
      <c r="W23" s="5">
        <f t="shared" si="1"/>
        <v>9.8360655737704927E-3</v>
      </c>
      <c r="X23" s="28">
        <f t="shared" si="2"/>
        <v>3.0030079603057726E-3</v>
      </c>
      <c r="Y23" s="20" t="s">
        <v>37</v>
      </c>
      <c r="Z23" s="24">
        <v>2</v>
      </c>
      <c r="AA23" s="23" t="s">
        <v>25</v>
      </c>
      <c r="AB23" s="24">
        <v>5</v>
      </c>
      <c r="AC23" s="23" t="s">
        <v>10</v>
      </c>
      <c r="AD23" s="24">
        <v>21</v>
      </c>
      <c r="AF23" s="2" t="b">
        <f t="shared" si="3"/>
        <v>1</v>
      </c>
      <c r="AG23" s="2" t="b">
        <f t="shared" si="4"/>
        <v>1</v>
      </c>
      <c r="AH23" s="2" t="b">
        <f t="shared" si="5"/>
        <v>1</v>
      </c>
      <c r="AI23" s="2" t="b">
        <f t="shared" si="6"/>
        <v>1</v>
      </c>
      <c r="AJ23" s="2" t="b">
        <f t="shared" si="7"/>
        <v>1</v>
      </c>
      <c r="AK23" s="2" t="b">
        <f t="shared" si="8"/>
        <v>1</v>
      </c>
    </row>
    <row r="24" spans="2:37" ht="21" x14ac:dyDescent="0.2">
      <c r="H24" s="7">
        <f t="shared" ref="H24" si="9">+SUM(H3:H23)</f>
        <v>610</v>
      </c>
      <c r="K24" s="25" t="s">
        <v>38</v>
      </c>
      <c r="L24" s="7">
        <f t="shared" ref="L24:W24" si="10">+SUM(L3:L23)</f>
        <v>13903</v>
      </c>
      <c r="M24" s="7">
        <f t="shared" si="10"/>
        <v>13903</v>
      </c>
      <c r="N24" s="7">
        <f t="shared" si="10"/>
        <v>13903</v>
      </c>
      <c r="O24" s="8">
        <f t="shared" si="10"/>
        <v>1</v>
      </c>
      <c r="P24" s="7">
        <f t="shared" si="10"/>
        <v>13903</v>
      </c>
      <c r="Q24" s="8">
        <f t="shared" si="10"/>
        <v>0.99999999999999989</v>
      </c>
      <c r="R24" s="7">
        <f t="shared" si="10"/>
        <v>610</v>
      </c>
      <c r="S24" s="7">
        <f t="shared" si="10"/>
        <v>610</v>
      </c>
      <c r="T24" s="7">
        <f t="shared" si="10"/>
        <v>610</v>
      </c>
      <c r="U24" s="8">
        <f t="shared" si="10"/>
        <v>0.99999999999999989</v>
      </c>
      <c r="V24" s="7">
        <f t="shared" si="10"/>
        <v>610</v>
      </c>
      <c r="W24" s="8">
        <f t="shared" si="10"/>
        <v>1</v>
      </c>
      <c r="Y24"/>
      <c r="Z24"/>
      <c r="AA24"/>
      <c r="AB24"/>
      <c r="AC24"/>
      <c r="AD24"/>
    </row>
    <row r="25" spans="2:37" x14ac:dyDescent="0.2">
      <c r="M25" s="2"/>
      <c r="N25" s="2"/>
      <c r="O25" s="2"/>
      <c r="Y25"/>
      <c r="Z25"/>
      <c r="AA25"/>
      <c r="AB25"/>
      <c r="AC25"/>
      <c r="AD25"/>
    </row>
    <row r="26" spans="2:37" x14ac:dyDescent="0.2">
      <c r="B26" s="6"/>
      <c r="D26" s="6"/>
      <c r="E26" s="6"/>
      <c r="F26" s="6"/>
      <c r="G26" s="6"/>
      <c r="H26" s="6"/>
      <c r="I26" s="6"/>
      <c r="J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/>
      <c r="Z26"/>
      <c r="AA26"/>
      <c r="AB26"/>
      <c r="AC26"/>
      <c r="AD26"/>
    </row>
    <row r="27" spans="2:37" s="6" customFormat="1" x14ac:dyDescent="0.2">
      <c r="Y27"/>
      <c r="Z27"/>
      <c r="AA27"/>
      <c r="AB27"/>
      <c r="AC27"/>
      <c r="AD27"/>
    </row>
    <row r="28" spans="2:37" x14ac:dyDescent="0.2">
      <c r="B28" s="6"/>
      <c r="D28" s="6"/>
      <c r="E28" s="6"/>
      <c r="F28" s="6"/>
      <c r="G28" s="6"/>
      <c r="H28" s="6"/>
      <c r="I28" s="6"/>
      <c r="J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/>
      <c r="Z28"/>
      <c r="AA28"/>
      <c r="AB28"/>
      <c r="AC28"/>
      <c r="AD28"/>
    </row>
    <row r="29" spans="2:37" x14ac:dyDescent="0.2">
      <c r="B29" s="6"/>
      <c r="D29" s="6"/>
      <c r="E29" s="6"/>
      <c r="F29" s="6"/>
      <c r="G29" s="6"/>
      <c r="H29" s="6"/>
      <c r="I29" s="6"/>
      <c r="J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/>
      <c r="Z29"/>
      <c r="AA29"/>
      <c r="AB29"/>
      <c r="AC29"/>
      <c r="AD29"/>
    </row>
    <row r="30" spans="2:37" x14ac:dyDescent="0.2">
      <c r="B30" s="6"/>
      <c r="D30" s="6"/>
      <c r="E30" s="6"/>
      <c r="F30" s="6"/>
      <c r="G30" s="6"/>
      <c r="H30" s="6"/>
      <c r="I30" s="6"/>
      <c r="J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/>
      <c r="Z30"/>
      <c r="AA30"/>
      <c r="AB30"/>
      <c r="AC30"/>
      <c r="AD30"/>
    </row>
    <row r="31" spans="2:37" x14ac:dyDescent="0.2">
      <c r="B31" s="6"/>
      <c r="D31" s="6"/>
      <c r="E31" s="6"/>
      <c r="F31" s="6"/>
      <c r="G31" s="6"/>
      <c r="H31" s="6"/>
      <c r="I31" s="6"/>
      <c r="J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/>
      <c r="Z31"/>
      <c r="AA31"/>
      <c r="AB31"/>
      <c r="AC31"/>
      <c r="AD31"/>
    </row>
    <row r="32" spans="2:37" x14ac:dyDescent="0.2">
      <c r="B32" s="6"/>
      <c r="D32" s="6"/>
      <c r="E32" s="6"/>
      <c r="F32" s="6"/>
      <c r="G32" s="6"/>
      <c r="H32" s="6"/>
      <c r="I32" s="6"/>
      <c r="J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/>
      <c r="Z32"/>
      <c r="AA32"/>
      <c r="AB32"/>
      <c r="AC32"/>
      <c r="AD32"/>
    </row>
    <row r="33" spans="2:30" x14ac:dyDescent="0.2">
      <c r="B33" s="6"/>
      <c r="D33" s="6"/>
      <c r="E33" s="6"/>
      <c r="F33" s="6"/>
      <c r="G33" s="6"/>
      <c r="H33" s="6"/>
      <c r="I33" s="6"/>
      <c r="J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/>
      <c r="Z33"/>
      <c r="AA33"/>
      <c r="AB33"/>
      <c r="AC33"/>
      <c r="AD33"/>
    </row>
    <row r="34" spans="2:30" ht="40" customHeight="1" x14ac:dyDescent="0.2">
      <c r="B34" s="6"/>
      <c r="D34" s="6"/>
      <c r="E34" s="6"/>
      <c r="F34" s="6"/>
      <c r="G34" s="6"/>
      <c r="H34" s="6"/>
      <c r="I34" s="6"/>
      <c r="J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/>
      <c r="Z34"/>
      <c r="AA34"/>
      <c r="AB34"/>
      <c r="AC34"/>
      <c r="AD34"/>
    </row>
    <row r="35" spans="2:30" x14ac:dyDescent="0.2">
      <c r="M35" s="2"/>
      <c r="N35" s="2"/>
      <c r="O35" s="2"/>
      <c r="Y35"/>
      <c r="Z35"/>
      <c r="AA35"/>
      <c r="AB35"/>
      <c r="AC35"/>
      <c r="AD35"/>
    </row>
    <row r="36" spans="2:30" x14ac:dyDescent="0.2">
      <c r="M36" s="2"/>
      <c r="N36" s="2"/>
      <c r="O36" s="2"/>
      <c r="Y36"/>
      <c r="Z36"/>
      <c r="AA36"/>
      <c r="AB36"/>
      <c r="AC36"/>
      <c r="AD36"/>
    </row>
    <row r="37" spans="2:30" x14ac:dyDescent="0.2">
      <c r="M37" s="2"/>
      <c r="N37" s="2"/>
      <c r="O37" s="2"/>
      <c r="Y37"/>
      <c r="Z37"/>
      <c r="AA37"/>
      <c r="AB37"/>
      <c r="AC37"/>
      <c r="AD37"/>
    </row>
    <row r="38" spans="2:30" x14ac:dyDescent="0.2">
      <c r="M38" s="2"/>
      <c r="N38" s="2"/>
      <c r="O38" s="2"/>
      <c r="Y38"/>
      <c r="Z38"/>
      <c r="AA38"/>
      <c r="AB38"/>
      <c r="AC38"/>
      <c r="AD38"/>
    </row>
    <row r="39" spans="2:30" x14ac:dyDescent="0.2">
      <c r="M39" s="2"/>
      <c r="N39" s="2"/>
      <c r="O39" s="2"/>
      <c r="Y39"/>
      <c r="Z39"/>
      <c r="AA39"/>
      <c r="AB39"/>
      <c r="AC39"/>
      <c r="AD39"/>
    </row>
    <row r="40" spans="2:30" x14ac:dyDescent="0.2">
      <c r="M40" s="2"/>
      <c r="N40" s="2"/>
      <c r="O40" s="2"/>
      <c r="Y40"/>
      <c r="Z40"/>
      <c r="AA40"/>
      <c r="AB40"/>
      <c r="AC40"/>
      <c r="AD40"/>
    </row>
    <row r="41" spans="2:30" x14ac:dyDescent="0.2">
      <c r="M41" s="2"/>
      <c r="N41" s="2"/>
      <c r="O41" s="2"/>
      <c r="Y41"/>
      <c r="Z41"/>
      <c r="AA41"/>
      <c r="AB41"/>
      <c r="AC41"/>
      <c r="AD41"/>
    </row>
    <row r="42" spans="2:30" x14ac:dyDescent="0.2">
      <c r="M42" s="2"/>
      <c r="N42" s="2"/>
      <c r="O42" s="2"/>
      <c r="Y42"/>
      <c r="Z42"/>
      <c r="AA42"/>
      <c r="AB42"/>
      <c r="AC42"/>
      <c r="AD42"/>
    </row>
    <row r="43" spans="2:30" x14ac:dyDescent="0.2">
      <c r="M43" s="2"/>
      <c r="N43" s="2"/>
      <c r="O43" s="2"/>
      <c r="Y43"/>
      <c r="Z43"/>
      <c r="AA43"/>
      <c r="AB43"/>
      <c r="AC43"/>
      <c r="AD43"/>
    </row>
    <row r="44" spans="2:30" x14ac:dyDescent="0.2">
      <c r="M44" s="2"/>
      <c r="N44" s="2"/>
      <c r="O44" s="2"/>
      <c r="Y44"/>
      <c r="Z44"/>
      <c r="AA44"/>
      <c r="AB44"/>
      <c r="AC44"/>
      <c r="AD44"/>
    </row>
    <row r="45" spans="2:30" x14ac:dyDescent="0.2">
      <c r="M45" s="2"/>
      <c r="N45" s="2"/>
      <c r="O45" s="2"/>
      <c r="Y45"/>
      <c r="Z45"/>
      <c r="AA45"/>
      <c r="AB45"/>
      <c r="AC45"/>
      <c r="AD45"/>
    </row>
    <row r="46" spans="2:30" x14ac:dyDescent="0.2">
      <c r="M46" s="2"/>
      <c r="N46" s="2"/>
      <c r="O46" s="2"/>
      <c r="Y46"/>
      <c r="Z46"/>
      <c r="AA46"/>
      <c r="AB46"/>
      <c r="AC46"/>
      <c r="AD46"/>
    </row>
    <row r="47" spans="2:30" x14ac:dyDescent="0.2">
      <c r="M47" s="2"/>
      <c r="N47" s="2"/>
      <c r="O47" s="2"/>
      <c r="Y47"/>
      <c r="Z47"/>
      <c r="AA47"/>
      <c r="AB47"/>
      <c r="AC47"/>
      <c r="AD47"/>
    </row>
    <row r="48" spans="2:30" x14ac:dyDescent="0.2">
      <c r="M48" s="2"/>
      <c r="N48" s="2"/>
      <c r="O48" s="2"/>
      <c r="Y48"/>
      <c r="Z48"/>
      <c r="AA48"/>
      <c r="AB48"/>
      <c r="AC48"/>
      <c r="AD48"/>
    </row>
    <row r="49" spans="13:30" x14ac:dyDescent="0.2">
      <c r="M49" s="2"/>
      <c r="N49" s="2"/>
      <c r="O49" s="2"/>
      <c r="Y49"/>
      <c r="Z49"/>
      <c r="AA49"/>
      <c r="AB49"/>
      <c r="AC49"/>
      <c r="AD49"/>
    </row>
    <row r="50" spans="13:30" x14ac:dyDescent="0.2">
      <c r="M50" s="2"/>
      <c r="N50" s="2"/>
      <c r="O50" s="2"/>
      <c r="Y50"/>
      <c r="Z50"/>
      <c r="AA50"/>
      <c r="AB50"/>
      <c r="AC50"/>
      <c r="AD50"/>
    </row>
    <row r="51" spans="13:30" x14ac:dyDescent="0.2">
      <c r="M51" s="2"/>
      <c r="N51" s="2"/>
      <c r="O51" s="2"/>
      <c r="Y51"/>
      <c r="Z51"/>
      <c r="AA51"/>
      <c r="AB51"/>
      <c r="AC51"/>
      <c r="AD51"/>
    </row>
    <row r="52" spans="13:30" x14ac:dyDescent="0.2">
      <c r="M52" s="2"/>
      <c r="N52" s="2"/>
      <c r="O52" s="2"/>
      <c r="Y52"/>
      <c r="Z52"/>
      <c r="AA52"/>
      <c r="AB52"/>
      <c r="AC52"/>
      <c r="AD52"/>
    </row>
    <row r="53" spans="13:30" x14ac:dyDescent="0.2">
      <c r="M53" s="2"/>
      <c r="N53" s="2"/>
      <c r="O53" s="2"/>
      <c r="Y53"/>
      <c r="Z53"/>
      <c r="AA53"/>
      <c r="AB53"/>
      <c r="AC53"/>
      <c r="AD53"/>
    </row>
    <row r="54" spans="13:30" x14ac:dyDescent="0.2">
      <c r="M54" s="2"/>
      <c r="N54" s="2"/>
      <c r="O54" s="2"/>
      <c r="Y54"/>
      <c r="Z54"/>
      <c r="AA54"/>
      <c r="AB54"/>
      <c r="AC54"/>
      <c r="AD54"/>
    </row>
    <row r="55" spans="13:30" x14ac:dyDescent="0.2">
      <c r="M55" s="2"/>
      <c r="N55" s="2"/>
      <c r="O55" s="2"/>
      <c r="Y55"/>
      <c r="Z55"/>
      <c r="AA55"/>
      <c r="AB55"/>
      <c r="AC55"/>
      <c r="AD55"/>
    </row>
    <row r="56" spans="13:30" x14ac:dyDescent="0.2">
      <c r="M56" s="2"/>
      <c r="N56" s="2"/>
      <c r="O56" s="2"/>
      <c r="Y56"/>
      <c r="Z56"/>
      <c r="AA56"/>
      <c r="AB56"/>
      <c r="AC56"/>
      <c r="AD56"/>
    </row>
    <row r="57" spans="13:30" x14ac:dyDescent="0.2">
      <c r="M57" s="2"/>
      <c r="N57" s="2"/>
      <c r="O57" s="2"/>
      <c r="Y57"/>
      <c r="Z57"/>
      <c r="AA57"/>
      <c r="AB57"/>
      <c r="AC57"/>
      <c r="AD57"/>
    </row>
    <row r="58" spans="13:30" x14ac:dyDescent="0.2">
      <c r="M58" s="2"/>
      <c r="N58" s="2"/>
      <c r="O58" s="2"/>
      <c r="Y58"/>
      <c r="Z58"/>
      <c r="AA58"/>
      <c r="AB58"/>
      <c r="AC58"/>
      <c r="AD58"/>
    </row>
    <row r="59" spans="13:30" x14ac:dyDescent="0.2">
      <c r="M59" s="2"/>
      <c r="N59" s="2"/>
      <c r="O59" s="2"/>
      <c r="Y59"/>
      <c r="Z59"/>
      <c r="AA59"/>
      <c r="AB59"/>
      <c r="AC59"/>
      <c r="AD59"/>
    </row>
    <row r="60" spans="13:30" x14ac:dyDescent="0.2">
      <c r="M60" s="2"/>
      <c r="N60" s="2"/>
      <c r="O60" s="2"/>
      <c r="Y60"/>
      <c r="Z60"/>
      <c r="AA60"/>
      <c r="AB60"/>
      <c r="AC60"/>
      <c r="AD60"/>
    </row>
    <row r="61" spans="13:30" x14ac:dyDescent="0.2">
      <c r="M61" s="2"/>
      <c r="N61" s="2"/>
      <c r="O61" s="2"/>
      <c r="Y61"/>
      <c r="Z61"/>
      <c r="AA61"/>
      <c r="AB61"/>
      <c r="AC61"/>
      <c r="AD61"/>
    </row>
    <row r="62" spans="13:30" x14ac:dyDescent="0.2">
      <c r="M62" s="2"/>
      <c r="N62" s="2"/>
      <c r="O62" s="2"/>
      <c r="Y62"/>
      <c r="Z62"/>
      <c r="AA62"/>
      <c r="AB62"/>
      <c r="AC62"/>
      <c r="AD62"/>
    </row>
    <row r="63" spans="13:30" x14ac:dyDescent="0.2">
      <c r="M63" s="2"/>
      <c r="N63" s="2"/>
      <c r="O63" s="2"/>
      <c r="Y63"/>
      <c r="Z63"/>
      <c r="AA63"/>
      <c r="AB63"/>
      <c r="AC63"/>
      <c r="AD63"/>
    </row>
    <row r="64" spans="13:30" x14ac:dyDescent="0.2">
      <c r="M64" s="2"/>
      <c r="N64" s="2"/>
      <c r="O64" s="2"/>
      <c r="Y64"/>
      <c r="Z64"/>
      <c r="AA64"/>
      <c r="AB64"/>
      <c r="AC64"/>
      <c r="AD64"/>
    </row>
    <row r="65" spans="13:30" x14ac:dyDescent="0.2">
      <c r="M65" s="2"/>
      <c r="N65" s="2"/>
      <c r="O65" s="2"/>
      <c r="Y65"/>
      <c r="Z65"/>
      <c r="AA65"/>
      <c r="AB65"/>
      <c r="AC65"/>
      <c r="AD65"/>
    </row>
    <row r="66" spans="13:30" x14ac:dyDescent="0.2">
      <c r="M66" s="2"/>
      <c r="N66" s="2"/>
      <c r="O66" s="2"/>
      <c r="Y66"/>
      <c r="Z66"/>
      <c r="AA66"/>
      <c r="AB66"/>
      <c r="AC66"/>
      <c r="AD66"/>
    </row>
    <row r="67" spans="13:30" x14ac:dyDescent="0.2">
      <c r="M67" s="2"/>
      <c r="N67" s="2"/>
      <c r="O67" s="2"/>
      <c r="Y67"/>
      <c r="Z67"/>
      <c r="AA67"/>
      <c r="AB67"/>
      <c r="AC67"/>
      <c r="AD67"/>
    </row>
    <row r="68" spans="13:30" x14ac:dyDescent="0.2">
      <c r="M68" s="2"/>
      <c r="N68" s="2"/>
      <c r="O68" s="2"/>
      <c r="Y68"/>
      <c r="Z68"/>
      <c r="AA68"/>
      <c r="AB68"/>
      <c r="AC68"/>
      <c r="AD68"/>
    </row>
    <row r="69" spans="13:30" x14ac:dyDescent="0.2">
      <c r="M69" s="2"/>
      <c r="N69" s="2"/>
      <c r="O69" s="2"/>
      <c r="Y69"/>
      <c r="Z69"/>
      <c r="AA69"/>
      <c r="AB69"/>
      <c r="AC69"/>
      <c r="AD69"/>
    </row>
    <row r="70" spans="13:30" x14ac:dyDescent="0.2">
      <c r="M70" s="2"/>
      <c r="N70" s="2"/>
      <c r="O70" s="2"/>
      <c r="Y70"/>
      <c r="Z70"/>
      <c r="AA70"/>
      <c r="AB70"/>
      <c r="AC70"/>
      <c r="AD70"/>
    </row>
    <row r="71" spans="13:30" x14ac:dyDescent="0.2">
      <c r="M71" s="2"/>
      <c r="N71" s="2"/>
      <c r="O71" s="2"/>
      <c r="Y71"/>
      <c r="Z71"/>
      <c r="AA71"/>
      <c r="AB71"/>
      <c r="AC71"/>
      <c r="AD71"/>
    </row>
    <row r="72" spans="13:30" x14ac:dyDescent="0.2">
      <c r="M72" s="2"/>
      <c r="N72" s="2"/>
      <c r="O72" s="2"/>
      <c r="Y72"/>
      <c r="Z72"/>
      <c r="AA72"/>
      <c r="AB72"/>
      <c r="AC72"/>
      <c r="AD72"/>
    </row>
    <row r="73" spans="13:30" x14ac:dyDescent="0.2">
      <c r="M73" s="2"/>
      <c r="N73" s="2"/>
      <c r="O73" s="2"/>
      <c r="Y73"/>
      <c r="Z73"/>
      <c r="AA73"/>
      <c r="AB73"/>
      <c r="AC73"/>
      <c r="AD73"/>
    </row>
    <row r="74" spans="13:30" x14ac:dyDescent="0.2">
      <c r="M74" s="2"/>
      <c r="N74" s="2"/>
      <c r="O74" s="2"/>
      <c r="Y74"/>
      <c r="Z74"/>
      <c r="AA74"/>
      <c r="AB74"/>
      <c r="AC74"/>
      <c r="AD74"/>
    </row>
    <row r="75" spans="13:30" x14ac:dyDescent="0.2">
      <c r="M75" s="2"/>
      <c r="N75" s="2"/>
      <c r="O75" s="2"/>
      <c r="Y75"/>
      <c r="Z75"/>
      <c r="AA75"/>
      <c r="AB75"/>
      <c r="AC75"/>
      <c r="AD75"/>
    </row>
    <row r="76" spans="13:30" x14ac:dyDescent="0.2">
      <c r="M76" s="2"/>
      <c r="N76" s="2"/>
      <c r="O76" s="2"/>
      <c r="Y76"/>
      <c r="Z76"/>
      <c r="AA76"/>
      <c r="AB76"/>
      <c r="AC76"/>
      <c r="AD76"/>
    </row>
    <row r="77" spans="13:30" x14ac:dyDescent="0.2">
      <c r="M77" s="2"/>
      <c r="N77" s="2"/>
      <c r="O77" s="2"/>
      <c r="Y77"/>
      <c r="Z77"/>
      <c r="AA77"/>
      <c r="AB77"/>
      <c r="AC77"/>
      <c r="AD77"/>
    </row>
    <row r="78" spans="13:30" x14ac:dyDescent="0.2">
      <c r="M78" s="2"/>
      <c r="N78" s="2"/>
      <c r="O78" s="2"/>
      <c r="Y78"/>
      <c r="Z78"/>
      <c r="AA78"/>
      <c r="AB78"/>
      <c r="AC78"/>
      <c r="AD78"/>
    </row>
    <row r="79" spans="13:30" x14ac:dyDescent="0.2">
      <c r="M79" s="2"/>
      <c r="N79" s="2"/>
      <c r="O79" s="2"/>
      <c r="Y79"/>
      <c r="Z79"/>
      <c r="AA79"/>
      <c r="AB79"/>
      <c r="AC79"/>
      <c r="AD79"/>
    </row>
    <row r="80" spans="13:30" x14ac:dyDescent="0.2">
      <c r="M80" s="2"/>
      <c r="N80" s="2"/>
      <c r="O80" s="2"/>
      <c r="Y80"/>
      <c r="Z80"/>
      <c r="AA80"/>
      <c r="AB80"/>
      <c r="AC80"/>
      <c r="AD80"/>
    </row>
    <row r="81" spans="13:30" x14ac:dyDescent="0.2">
      <c r="M81" s="2"/>
      <c r="N81" s="2"/>
      <c r="O81" s="2"/>
      <c r="Y81"/>
      <c r="Z81"/>
      <c r="AA81"/>
      <c r="AB81"/>
      <c r="AC81"/>
      <c r="AD81"/>
    </row>
    <row r="82" spans="13:30" x14ac:dyDescent="0.2">
      <c r="M82" s="2"/>
      <c r="N82" s="2"/>
      <c r="O82" s="2"/>
      <c r="Y82"/>
      <c r="Z82"/>
      <c r="AA82"/>
      <c r="AB82"/>
      <c r="AC82"/>
      <c r="AD82"/>
    </row>
    <row r="83" spans="13:30" x14ac:dyDescent="0.2">
      <c r="M83" s="2"/>
      <c r="N83" s="2"/>
      <c r="O83" s="2"/>
      <c r="Y83"/>
      <c r="Z83"/>
      <c r="AA83"/>
      <c r="AB83"/>
      <c r="AC83"/>
      <c r="AD83"/>
    </row>
    <row r="84" spans="13:30" x14ac:dyDescent="0.2">
      <c r="M84" s="2"/>
      <c r="N84" s="2"/>
      <c r="O84" s="2"/>
      <c r="Y84"/>
      <c r="Z84"/>
      <c r="AA84"/>
      <c r="AB84"/>
      <c r="AC84"/>
      <c r="AD84"/>
    </row>
    <row r="85" spans="13:30" x14ac:dyDescent="0.2">
      <c r="M85" s="2"/>
      <c r="N85" s="2"/>
      <c r="O85" s="2"/>
      <c r="Y85"/>
      <c r="Z85"/>
      <c r="AA85"/>
      <c r="AB85"/>
      <c r="AC85"/>
      <c r="AD85"/>
    </row>
    <row r="86" spans="13:30" x14ac:dyDescent="0.2">
      <c r="M86" s="2"/>
      <c r="N86" s="2"/>
      <c r="O86" s="2"/>
      <c r="Y86"/>
      <c r="Z86"/>
      <c r="AA86"/>
      <c r="AB86"/>
      <c r="AC86"/>
      <c r="AD86"/>
    </row>
    <row r="87" spans="13:30" x14ac:dyDescent="0.2">
      <c r="M87" s="2"/>
      <c r="N87" s="2"/>
      <c r="O87" s="2"/>
      <c r="Y87"/>
      <c r="Z87"/>
      <c r="AA87"/>
      <c r="AB87"/>
      <c r="AC87"/>
      <c r="AD87"/>
    </row>
    <row r="88" spans="13:30" x14ac:dyDescent="0.2">
      <c r="M88" s="2"/>
      <c r="N88" s="2"/>
      <c r="O88" s="2"/>
      <c r="Y88"/>
      <c r="Z88"/>
      <c r="AA88"/>
      <c r="AB88"/>
      <c r="AC88"/>
      <c r="AD88"/>
    </row>
    <row r="89" spans="13:30" x14ac:dyDescent="0.2">
      <c r="M89" s="2"/>
      <c r="N89" s="2"/>
      <c r="O89" s="2"/>
      <c r="Y89"/>
      <c r="Z89"/>
      <c r="AA89"/>
      <c r="AB89"/>
      <c r="AC89"/>
      <c r="AD89"/>
    </row>
    <row r="90" spans="13:30" x14ac:dyDescent="0.2">
      <c r="M90" s="2"/>
      <c r="N90" s="2"/>
      <c r="O90" s="2"/>
      <c r="Y90"/>
      <c r="Z90"/>
      <c r="AA90"/>
      <c r="AB90"/>
      <c r="AC90"/>
      <c r="AD90"/>
    </row>
    <row r="91" spans="13:30" x14ac:dyDescent="0.2">
      <c r="M91" s="2"/>
      <c r="N91" s="2"/>
      <c r="O91" s="2"/>
      <c r="Y91"/>
      <c r="Z91"/>
      <c r="AA91"/>
      <c r="AB91"/>
      <c r="AC91"/>
      <c r="AD91"/>
    </row>
    <row r="92" spans="13:30" x14ac:dyDescent="0.2">
      <c r="M92" s="2"/>
      <c r="N92" s="2"/>
      <c r="O92" s="2"/>
      <c r="Y92"/>
      <c r="Z92"/>
      <c r="AA92"/>
      <c r="AB92"/>
      <c r="AC92"/>
      <c r="AD92"/>
    </row>
    <row r="93" spans="13:30" x14ac:dyDescent="0.2">
      <c r="M93" s="2"/>
      <c r="N93" s="2"/>
      <c r="O93" s="2"/>
      <c r="Y93"/>
      <c r="Z93"/>
      <c r="AA93"/>
      <c r="AB93"/>
      <c r="AC93"/>
      <c r="AD93"/>
    </row>
    <row r="94" spans="13:30" x14ac:dyDescent="0.2">
      <c r="M94" s="2"/>
      <c r="N94" s="2"/>
      <c r="O94" s="2"/>
      <c r="Y94"/>
      <c r="Z94"/>
      <c r="AA94"/>
      <c r="AB94"/>
      <c r="AC94"/>
      <c r="AD94"/>
    </row>
    <row r="95" spans="13:30" x14ac:dyDescent="0.2">
      <c r="M95" s="2"/>
      <c r="N95" s="2"/>
      <c r="O95" s="2"/>
      <c r="Y95"/>
      <c r="Z95"/>
      <c r="AA95"/>
      <c r="AB95"/>
      <c r="AC95"/>
      <c r="AD95"/>
    </row>
    <row r="96" spans="13:30" x14ac:dyDescent="0.2">
      <c r="M96" s="2"/>
      <c r="N96" s="2"/>
      <c r="O96" s="2"/>
      <c r="Y96"/>
      <c r="Z96"/>
      <c r="AA96"/>
      <c r="AB96"/>
      <c r="AC96"/>
      <c r="AD96"/>
    </row>
    <row r="97" spans="13:30" x14ac:dyDescent="0.2">
      <c r="M97" s="2"/>
      <c r="N97" s="2"/>
      <c r="O97" s="2"/>
      <c r="Y97"/>
      <c r="Z97"/>
      <c r="AA97"/>
      <c r="AB97"/>
      <c r="AC97"/>
      <c r="AD97"/>
    </row>
    <row r="98" spans="13:30" x14ac:dyDescent="0.2">
      <c r="M98" s="2"/>
      <c r="N98" s="2"/>
      <c r="O98" s="2"/>
      <c r="Y98"/>
      <c r="Z98"/>
      <c r="AA98"/>
      <c r="AB98"/>
      <c r="AC98"/>
      <c r="AD98"/>
    </row>
    <row r="99" spans="13:30" x14ac:dyDescent="0.2">
      <c r="M99" s="2"/>
      <c r="N99" s="2"/>
      <c r="O99" s="2"/>
      <c r="Y99"/>
      <c r="Z99"/>
      <c r="AA99"/>
      <c r="AB99"/>
      <c r="AC99"/>
      <c r="AD99"/>
    </row>
    <row r="100" spans="13:30" x14ac:dyDescent="0.2">
      <c r="M100" s="2"/>
      <c r="N100" s="2"/>
      <c r="O100" s="2"/>
      <c r="Y100"/>
      <c r="Z100"/>
      <c r="AA100"/>
      <c r="AB100"/>
      <c r="AC100"/>
      <c r="AD100"/>
    </row>
    <row r="101" spans="13:30" x14ac:dyDescent="0.2">
      <c r="M101" s="2"/>
      <c r="N101" s="2"/>
      <c r="O101" s="2"/>
      <c r="Y101"/>
      <c r="Z101"/>
      <c r="AA101"/>
      <c r="AB101"/>
      <c r="AC101"/>
      <c r="AD101"/>
    </row>
    <row r="102" spans="13:30" x14ac:dyDescent="0.2">
      <c r="M102" s="2"/>
      <c r="N102" s="2"/>
      <c r="O102" s="2"/>
      <c r="Y102"/>
      <c r="Z102"/>
      <c r="AA102"/>
      <c r="AB102"/>
      <c r="AC102"/>
      <c r="AD102"/>
    </row>
    <row r="103" spans="13:30" x14ac:dyDescent="0.2">
      <c r="M103" s="2"/>
      <c r="N103" s="2"/>
      <c r="O103" s="2"/>
      <c r="Y103"/>
      <c r="Z103"/>
      <c r="AA103"/>
      <c r="AB103"/>
      <c r="AC103"/>
      <c r="AD103"/>
    </row>
    <row r="104" spans="13:30" x14ac:dyDescent="0.2">
      <c r="M104" s="2"/>
      <c r="N104" s="2"/>
      <c r="O104" s="2"/>
      <c r="Y104"/>
      <c r="Z104"/>
      <c r="AA104"/>
      <c r="AB104"/>
      <c r="AC104"/>
      <c r="AD104"/>
    </row>
    <row r="105" spans="13:30" x14ac:dyDescent="0.2">
      <c r="M105" s="2"/>
      <c r="N105" s="2"/>
      <c r="O105" s="2"/>
      <c r="Y105"/>
      <c r="Z105"/>
      <c r="AA105"/>
      <c r="AB105"/>
      <c r="AC105"/>
      <c r="AD105"/>
    </row>
    <row r="106" spans="13:30" x14ac:dyDescent="0.2">
      <c r="M106" s="2"/>
      <c r="N106" s="2"/>
      <c r="O106" s="2"/>
      <c r="Y106"/>
      <c r="Z106"/>
      <c r="AA106"/>
      <c r="AB106"/>
      <c r="AC106"/>
      <c r="AD106"/>
    </row>
    <row r="107" spans="13:30" x14ac:dyDescent="0.2">
      <c r="M107" s="2"/>
      <c r="N107" s="2"/>
      <c r="O107" s="2"/>
      <c r="Y107"/>
      <c r="Z107"/>
      <c r="AA107"/>
      <c r="AB107"/>
      <c r="AC107"/>
      <c r="AD107"/>
    </row>
    <row r="108" spans="13:30" x14ac:dyDescent="0.2">
      <c r="M108" s="2"/>
      <c r="N108" s="2"/>
      <c r="O108" s="2"/>
      <c r="Y108"/>
      <c r="Z108"/>
      <c r="AA108"/>
      <c r="AB108"/>
      <c r="AC108"/>
      <c r="AD108"/>
    </row>
    <row r="109" spans="13:30" x14ac:dyDescent="0.2">
      <c r="M109" s="2"/>
      <c r="N109" s="2"/>
      <c r="O109" s="2"/>
      <c r="Y109"/>
      <c r="Z109"/>
      <c r="AA109"/>
      <c r="AB109"/>
      <c r="AC109"/>
      <c r="AD109"/>
    </row>
    <row r="110" spans="13:30" x14ac:dyDescent="0.2">
      <c r="M110" s="2"/>
      <c r="N110" s="2"/>
      <c r="O110" s="2"/>
      <c r="Y110"/>
      <c r="Z110"/>
      <c r="AA110"/>
      <c r="AB110"/>
      <c r="AC110"/>
      <c r="AD110"/>
    </row>
    <row r="111" spans="13:30" x14ac:dyDescent="0.2">
      <c r="M111" s="2"/>
      <c r="N111" s="2"/>
      <c r="O111" s="2"/>
      <c r="Y111"/>
      <c r="Z111"/>
      <c r="AA111"/>
      <c r="AB111"/>
      <c r="AC111"/>
      <c r="AD111"/>
    </row>
    <row r="112" spans="13:30" x14ac:dyDescent="0.2">
      <c r="M112" s="2"/>
      <c r="N112" s="2"/>
      <c r="O112" s="2"/>
      <c r="Y112"/>
      <c r="Z112"/>
      <c r="AA112"/>
      <c r="AB112"/>
      <c r="AC112"/>
      <c r="AD112"/>
    </row>
    <row r="113" spans="13:30" x14ac:dyDescent="0.2">
      <c r="M113" s="2"/>
      <c r="N113" s="2"/>
      <c r="O113" s="2"/>
      <c r="Y113"/>
      <c r="Z113"/>
      <c r="AA113"/>
      <c r="AB113"/>
      <c r="AC113"/>
      <c r="AD113"/>
    </row>
    <row r="114" spans="13:30" x14ac:dyDescent="0.2">
      <c r="M114" s="2"/>
      <c r="N114" s="2"/>
      <c r="O114" s="2"/>
      <c r="Y114"/>
      <c r="Z114"/>
      <c r="AA114"/>
      <c r="AB114"/>
      <c r="AC114"/>
      <c r="AD114"/>
    </row>
    <row r="115" spans="13:30" x14ac:dyDescent="0.2">
      <c r="M115" s="2"/>
      <c r="N115" s="2"/>
      <c r="O115" s="2"/>
      <c r="Y115"/>
      <c r="Z115"/>
      <c r="AA115"/>
      <c r="AB115"/>
      <c r="AC115"/>
      <c r="AD115"/>
    </row>
    <row r="116" spans="13:30" x14ac:dyDescent="0.2">
      <c r="M116" s="2"/>
      <c r="N116" s="2"/>
      <c r="O116" s="2"/>
      <c r="Y116"/>
      <c r="Z116"/>
      <c r="AA116"/>
      <c r="AB116"/>
      <c r="AC116"/>
      <c r="AD116"/>
    </row>
    <row r="117" spans="13:30" x14ac:dyDescent="0.2">
      <c r="M117" s="2"/>
      <c r="N117" s="2"/>
      <c r="O117" s="2"/>
      <c r="Y117"/>
      <c r="Z117"/>
      <c r="AA117"/>
      <c r="AB117"/>
      <c r="AC117"/>
      <c r="AD117"/>
    </row>
    <row r="118" spans="13:30" x14ac:dyDescent="0.2">
      <c r="M118" s="2"/>
      <c r="N118" s="2"/>
      <c r="O118" s="2"/>
      <c r="Y118"/>
      <c r="Z118"/>
      <c r="AA118"/>
      <c r="AB118"/>
      <c r="AC118"/>
      <c r="AD118"/>
    </row>
    <row r="119" spans="13:30" x14ac:dyDescent="0.2">
      <c r="M119" s="2"/>
      <c r="N119" s="2"/>
      <c r="O119" s="2"/>
      <c r="Y119"/>
      <c r="Z119"/>
      <c r="AA119"/>
      <c r="AB119"/>
      <c r="AC119"/>
      <c r="AD119"/>
    </row>
    <row r="120" spans="13:30" x14ac:dyDescent="0.2">
      <c r="M120" s="2"/>
      <c r="N120" s="2"/>
      <c r="O120" s="2"/>
      <c r="Y120"/>
      <c r="Z120"/>
      <c r="AA120"/>
      <c r="AB120"/>
      <c r="AC120"/>
      <c r="AD120"/>
    </row>
    <row r="121" spans="13:30" x14ac:dyDescent="0.2">
      <c r="M121" s="2"/>
      <c r="N121" s="2"/>
      <c r="O121" s="2"/>
      <c r="Y121"/>
      <c r="Z121"/>
      <c r="AA121"/>
      <c r="AB121"/>
      <c r="AC121"/>
      <c r="AD121"/>
    </row>
    <row r="122" spans="13:30" x14ac:dyDescent="0.2">
      <c r="M122" s="2"/>
      <c r="N122" s="2"/>
      <c r="O122" s="2"/>
      <c r="Y122"/>
      <c r="Z122"/>
      <c r="AA122"/>
      <c r="AB122"/>
      <c r="AC122"/>
      <c r="AD122"/>
    </row>
    <row r="123" spans="13:30" x14ac:dyDescent="0.2">
      <c r="M123" s="2"/>
      <c r="N123" s="2"/>
      <c r="O123" s="2"/>
      <c r="Y123"/>
      <c r="Z123"/>
      <c r="AA123"/>
      <c r="AB123"/>
      <c r="AC123"/>
      <c r="AD123"/>
    </row>
    <row r="124" spans="13:30" x14ac:dyDescent="0.2">
      <c r="M124" s="2"/>
      <c r="N124" s="2"/>
      <c r="O124" s="2"/>
      <c r="Y124"/>
      <c r="Z124"/>
      <c r="AA124"/>
      <c r="AB124"/>
      <c r="AC124"/>
      <c r="AD124"/>
    </row>
    <row r="125" spans="13:30" x14ac:dyDescent="0.2">
      <c r="M125" s="2"/>
      <c r="N125" s="2"/>
      <c r="O125" s="2"/>
      <c r="Y125"/>
      <c r="Z125"/>
      <c r="AA125"/>
      <c r="AB125"/>
      <c r="AC125"/>
      <c r="AD125"/>
    </row>
    <row r="126" spans="13:30" x14ac:dyDescent="0.2">
      <c r="M126" s="2"/>
      <c r="N126" s="2"/>
      <c r="O126" s="2"/>
      <c r="Y126"/>
      <c r="Z126"/>
      <c r="AA126"/>
      <c r="AB126"/>
      <c r="AC126"/>
      <c r="AD126"/>
    </row>
    <row r="127" spans="13:30" x14ac:dyDescent="0.2">
      <c r="M127" s="2"/>
      <c r="N127" s="2"/>
      <c r="O127" s="2"/>
      <c r="Y127"/>
      <c r="Z127"/>
      <c r="AA127"/>
      <c r="AB127"/>
      <c r="AC127"/>
      <c r="AD127"/>
    </row>
    <row r="128" spans="13:30" x14ac:dyDescent="0.2">
      <c r="M128" s="2"/>
      <c r="N128" s="2"/>
      <c r="O128" s="2"/>
      <c r="Y128"/>
      <c r="Z128"/>
      <c r="AA128"/>
      <c r="AB128"/>
      <c r="AC128"/>
      <c r="AD128"/>
    </row>
    <row r="129" spans="13:30" x14ac:dyDescent="0.2">
      <c r="M129" s="2"/>
      <c r="N129" s="2"/>
      <c r="O129" s="2"/>
      <c r="Y129"/>
      <c r="Z129"/>
      <c r="AA129"/>
      <c r="AB129"/>
      <c r="AC129"/>
      <c r="AD129"/>
    </row>
    <row r="130" spans="13:30" x14ac:dyDescent="0.2">
      <c r="M130" s="2"/>
      <c r="N130" s="2"/>
      <c r="O130" s="2"/>
      <c r="Y130"/>
      <c r="Z130"/>
      <c r="AA130"/>
      <c r="AB130"/>
      <c r="AC130"/>
      <c r="AD130"/>
    </row>
    <row r="131" spans="13:30" x14ac:dyDescent="0.2">
      <c r="M131" s="2"/>
      <c r="N131" s="2"/>
      <c r="O131" s="2"/>
      <c r="Y131"/>
      <c r="Z131"/>
      <c r="AA131"/>
      <c r="AB131"/>
      <c r="AC131"/>
      <c r="AD131"/>
    </row>
    <row r="132" spans="13:30" x14ac:dyDescent="0.2">
      <c r="M132" s="2"/>
      <c r="N132" s="2"/>
      <c r="O132" s="2"/>
      <c r="Y132"/>
      <c r="Z132"/>
      <c r="AA132"/>
      <c r="AB132"/>
      <c r="AC132"/>
      <c r="AD132"/>
    </row>
    <row r="133" spans="13:30" x14ac:dyDescent="0.2">
      <c r="M133" s="2"/>
      <c r="N133" s="2"/>
      <c r="O133" s="2"/>
      <c r="Y133"/>
      <c r="Z133"/>
      <c r="AA133"/>
      <c r="AB133"/>
      <c r="AC133"/>
      <c r="AD133"/>
    </row>
    <row r="134" spans="13:30" x14ac:dyDescent="0.2">
      <c r="M134" s="2"/>
      <c r="N134" s="2"/>
      <c r="O134" s="2"/>
      <c r="Y134"/>
      <c r="Z134"/>
      <c r="AA134"/>
      <c r="AB134"/>
      <c r="AC134"/>
      <c r="AD134"/>
    </row>
    <row r="135" spans="13:30" x14ac:dyDescent="0.2">
      <c r="M135" s="2"/>
      <c r="N135" s="2"/>
      <c r="O135" s="2"/>
      <c r="Y135"/>
      <c r="Z135"/>
      <c r="AA135"/>
      <c r="AB135"/>
      <c r="AC135"/>
      <c r="AD135"/>
    </row>
    <row r="136" spans="13:30" x14ac:dyDescent="0.2">
      <c r="M136" s="2"/>
      <c r="N136" s="2"/>
      <c r="O136" s="2"/>
      <c r="Y136"/>
      <c r="Z136"/>
      <c r="AA136"/>
      <c r="AB136"/>
      <c r="AC136"/>
      <c r="AD136"/>
    </row>
    <row r="137" spans="13:30" x14ac:dyDescent="0.2">
      <c r="M137" s="2"/>
      <c r="N137" s="2"/>
      <c r="O137" s="2"/>
      <c r="Y137"/>
      <c r="Z137"/>
      <c r="AA137"/>
      <c r="AB137"/>
      <c r="AC137"/>
      <c r="AD137"/>
    </row>
    <row r="138" spans="13:30" x14ac:dyDescent="0.2">
      <c r="M138" s="2"/>
      <c r="N138" s="2"/>
      <c r="O138" s="2"/>
      <c r="Y138"/>
      <c r="Z138"/>
      <c r="AA138"/>
      <c r="AB138"/>
      <c r="AC138"/>
      <c r="AD138"/>
    </row>
    <row r="139" spans="13:30" x14ac:dyDescent="0.2">
      <c r="M139" s="2"/>
      <c r="N139" s="2"/>
      <c r="O139" s="2"/>
      <c r="Y139"/>
      <c r="Z139"/>
      <c r="AA139"/>
      <c r="AB139"/>
      <c r="AC139"/>
      <c r="AD139"/>
    </row>
    <row r="140" spans="13:30" x14ac:dyDescent="0.2">
      <c r="M140" s="2"/>
      <c r="N140" s="2"/>
      <c r="O140" s="2"/>
      <c r="Y140"/>
      <c r="Z140"/>
      <c r="AA140"/>
      <c r="AB140"/>
      <c r="AC140"/>
      <c r="AD140"/>
    </row>
    <row r="141" spans="13:30" x14ac:dyDescent="0.2">
      <c r="M141" s="2"/>
      <c r="N141" s="2"/>
      <c r="O141" s="2"/>
      <c r="Y141"/>
      <c r="Z141"/>
      <c r="AA141"/>
      <c r="AB141"/>
      <c r="AC141"/>
      <c r="AD141"/>
    </row>
    <row r="142" spans="13:30" x14ac:dyDescent="0.2">
      <c r="M142" s="2"/>
      <c r="N142" s="2"/>
      <c r="O142" s="2"/>
      <c r="Y142"/>
      <c r="Z142"/>
      <c r="AA142"/>
      <c r="AB142"/>
      <c r="AC142"/>
      <c r="AD142"/>
    </row>
    <row r="143" spans="13:30" x14ac:dyDescent="0.2">
      <c r="M143" s="2"/>
      <c r="N143" s="2"/>
      <c r="O143" s="2"/>
      <c r="Y143"/>
      <c r="Z143"/>
      <c r="AA143"/>
      <c r="AB143"/>
      <c r="AC143"/>
      <c r="AD143"/>
    </row>
    <row r="144" spans="13:30" x14ac:dyDescent="0.2">
      <c r="M144" s="2"/>
      <c r="N144" s="2"/>
      <c r="O144" s="2"/>
      <c r="Y144"/>
      <c r="Z144"/>
      <c r="AA144"/>
      <c r="AB144"/>
      <c r="AC144"/>
      <c r="AD144"/>
    </row>
    <row r="145" spans="13:30" x14ac:dyDescent="0.2">
      <c r="M145" s="2"/>
      <c r="N145" s="2"/>
      <c r="O145" s="2"/>
      <c r="Y145"/>
      <c r="Z145"/>
      <c r="AA145"/>
      <c r="AB145"/>
      <c r="AC145"/>
      <c r="AD145"/>
    </row>
    <row r="146" spans="13:30" x14ac:dyDescent="0.2">
      <c r="M146" s="2"/>
      <c r="N146" s="2"/>
      <c r="O146" s="2"/>
      <c r="Y146"/>
      <c r="Z146"/>
      <c r="AA146"/>
      <c r="AB146"/>
      <c r="AC146"/>
      <c r="AD146"/>
    </row>
    <row r="147" spans="13:30" x14ac:dyDescent="0.2">
      <c r="M147" s="2"/>
      <c r="N147" s="2"/>
      <c r="O147" s="2"/>
      <c r="Y147"/>
      <c r="Z147"/>
      <c r="AA147"/>
      <c r="AB147"/>
      <c r="AC147"/>
      <c r="AD147"/>
    </row>
    <row r="148" spans="13:30" x14ac:dyDescent="0.2">
      <c r="M148" s="2"/>
      <c r="N148" s="2"/>
      <c r="O148" s="2"/>
      <c r="Y148"/>
      <c r="Z148"/>
      <c r="AA148"/>
      <c r="AB148"/>
      <c r="AC148"/>
      <c r="AD148"/>
    </row>
    <row r="149" spans="13:30" x14ac:dyDescent="0.2">
      <c r="M149" s="2"/>
      <c r="N149" s="2"/>
      <c r="O149" s="2"/>
      <c r="Y149"/>
      <c r="Z149"/>
      <c r="AA149"/>
      <c r="AB149"/>
      <c r="AC149"/>
      <c r="AD149"/>
    </row>
    <row r="150" spans="13:30" x14ac:dyDescent="0.2">
      <c r="M150" s="2"/>
      <c r="N150" s="2"/>
      <c r="O150" s="2"/>
      <c r="Y150"/>
      <c r="Z150"/>
      <c r="AA150"/>
      <c r="AB150"/>
      <c r="AC150"/>
      <c r="AD150"/>
    </row>
    <row r="151" spans="13:30" x14ac:dyDescent="0.2">
      <c r="M151" s="2"/>
      <c r="N151" s="2"/>
      <c r="O151" s="2"/>
      <c r="Y151"/>
      <c r="Z151"/>
      <c r="AA151"/>
      <c r="AB151"/>
      <c r="AC151"/>
      <c r="AD151"/>
    </row>
    <row r="152" spans="13:30" x14ac:dyDescent="0.2">
      <c r="M152" s="2"/>
      <c r="N152" s="2"/>
      <c r="O152" s="2"/>
      <c r="Y152"/>
      <c r="Z152"/>
      <c r="AA152"/>
      <c r="AB152"/>
      <c r="AC152"/>
      <c r="AD152"/>
    </row>
    <row r="153" spans="13:30" x14ac:dyDescent="0.2">
      <c r="M153" s="2"/>
      <c r="N153" s="2"/>
      <c r="O153" s="2"/>
      <c r="Y153"/>
      <c r="Z153"/>
      <c r="AA153"/>
      <c r="AB153"/>
      <c r="AC153"/>
      <c r="AD153"/>
    </row>
    <row r="154" spans="13:30" x14ac:dyDescent="0.2">
      <c r="M154" s="2"/>
      <c r="N154" s="2"/>
      <c r="O154" s="2"/>
      <c r="Y154"/>
      <c r="Z154"/>
      <c r="AA154"/>
      <c r="AB154"/>
      <c r="AC154"/>
      <c r="AD154"/>
    </row>
    <row r="155" spans="13:30" x14ac:dyDescent="0.2">
      <c r="M155" s="2"/>
      <c r="N155" s="2"/>
      <c r="O155" s="2"/>
      <c r="Y155"/>
      <c r="Z155"/>
      <c r="AA155"/>
      <c r="AB155"/>
      <c r="AC155"/>
      <c r="AD155"/>
    </row>
    <row r="156" spans="13:30" x14ac:dyDescent="0.2">
      <c r="M156" s="2"/>
      <c r="N156" s="2"/>
      <c r="O156" s="2"/>
      <c r="Y156"/>
      <c r="Z156"/>
      <c r="AA156"/>
      <c r="AB156"/>
      <c r="AC156"/>
      <c r="AD156"/>
    </row>
    <row r="157" spans="13:30" x14ac:dyDescent="0.2">
      <c r="M157" s="2"/>
      <c r="N157" s="2"/>
      <c r="O157" s="2"/>
      <c r="Y157"/>
      <c r="Z157"/>
      <c r="AA157"/>
      <c r="AB157"/>
      <c r="AC157"/>
      <c r="AD157"/>
    </row>
    <row r="158" spans="13:30" x14ac:dyDescent="0.2">
      <c r="M158" s="2"/>
      <c r="N158" s="2"/>
      <c r="O158" s="2"/>
      <c r="Y158"/>
      <c r="Z158"/>
      <c r="AA158"/>
      <c r="AB158"/>
      <c r="AC158"/>
      <c r="AD158"/>
    </row>
    <row r="159" spans="13:30" x14ac:dyDescent="0.2">
      <c r="M159" s="2"/>
      <c r="N159" s="2"/>
      <c r="O159" s="2"/>
      <c r="Y159"/>
      <c r="Z159"/>
      <c r="AA159"/>
      <c r="AB159"/>
      <c r="AC159"/>
      <c r="AD159"/>
    </row>
    <row r="160" spans="13:30" x14ac:dyDescent="0.2">
      <c r="M160" s="2"/>
      <c r="N160" s="2"/>
      <c r="O160" s="2"/>
      <c r="Y160"/>
      <c r="Z160"/>
      <c r="AA160"/>
      <c r="AB160"/>
      <c r="AC160"/>
      <c r="AD160"/>
    </row>
    <row r="161" spans="13:30" x14ac:dyDescent="0.2">
      <c r="M161" s="2"/>
      <c r="N161" s="2"/>
      <c r="O161" s="2"/>
      <c r="Y161"/>
      <c r="Z161"/>
      <c r="AA161"/>
      <c r="AB161"/>
      <c r="AC161"/>
      <c r="AD161"/>
    </row>
    <row r="162" spans="13:30" x14ac:dyDescent="0.2">
      <c r="M162" s="2"/>
      <c r="N162" s="2"/>
      <c r="O162" s="2"/>
      <c r="Y162"/>
      <c r="Z162"/>
      <c r="AA162"/>
      <c r="AB162"/>
      <c r="AC162"/>
      <c r="AD162"/>
    </row>
    <row r="163" spans="13:30" x14ac:dyDescent="0.2">
      <c r="M163" s="2"/>
      <c r="N163" s="2"/>
      <c r="O163" s="2"/>
      <c r="Y163"/>
      <c r="Z163"/>
      <c r="AA163"/>
      <c r="AB163"/>
      <c r="AC163"/>
      <c r="AD163"/>
    </row>
    <row r="164" spans="13:30" x14ac:dyDescent="0.2">
      <c r="M164" s="2"/>
      <c r="N164" s="2"/>
      <c r="O164" s="2"/>
      <c r="Y164"/>
      <c r="Z164"/>
      <c r="AA164"/>
      <c r="AB164"/>
      <c r="AC164"/>
      <c r="AD164"/>
    </row>
    <row r="165" spans="13:30" x14ac:dyDescent="0.2">
      <c r="M165" s="2"/>
      <c r="N165" s="2"/>
      <c r="O165" s="2"/>
      <c r="Y165"/>
      <c r="Z165"/>
      <c r="AA165"/>
      <c r="AB165"/>
      <c r="AC165"/>
      <c r="AD165"/>
    </row>
    <row r="166" spans="13:30" x14ac:dyDescent="0.2">
      <c r="M166" s="2"/>
      <c r="N166" s="2"/>
      <c r="O166" s="2"/>
      <c r="Y166"/>
      <c r="Z166"/>
      <c r="AA166"/>
      <c r="AB166"/>
      <c r="AC166"/>
      <c r="AD166"/>
    </row>
    <row r="167" spans="13:30" x14ac:dyDescent="0.2">
      <c r="M167" s="2"/>
      <c r="N167" s="2"/>
      <c r="O167" s="2"/>
      <c r="Y167"/>
      <c r="Z167"/>
      <c r="AA167"/>
      <c r="AB167"/>
      <c r="AC167"/>
      <c r="AD167"/>
    </row>
    <row r="168" spans="13:30" x14ac:dyDescent="0.2">
      <c r="M168" s="2"/>
      <c r="N168" s="2"/>
      <c r="O168" s="2"/>
      <c r="Y168"/>
      <c r="Z168"/>
      <c r="AA168"/>
      <c r="AB168"/>
      <c r="AC168"/>
      <c r="AD168"/>
    </row>
    <row r="169" spans="13:30" x14ac:dyDescent="0.2">
      <c r="M169" s="2"/>
      <c r="N169" s="2"/>
      <c r="O169" s="2"/>
      <c r="Y169"/>
      <c r="Z169"/>
      <c r="AA169"/>
      <c r="AB169"/>
      <c r="AC169"/>
      <c r="AD169"/>
    </row>
    <row r="170" spans="13:30" x14ac:dyDescent="0.2">
      <c r="M170" s="2"/>
      <c r="N170" s="2"/>
      <c r="O170" s="2"/>
      <c r="Y170"/>
      <c r="Z170"/>
      <c r="AA170"/>
      <c r="AB170"/>
      <c r="AC170"/>
      <c r="AD170"/>
    </row>
    <row r="171" spans="13:30" x14ac:dyDescent="0.2">
      <c r="M171" s="2"/>
      <c r="N171" s="2"/>
      <c r="O171" s="2"/>
      <c r="Y171"/>
      <c r="Z171"/>
      <c r="AA171"/>
      <c r="AB171"/>
      <c r="AC171"/>
      <c r="AD171"/>
    </row>
    <row r="172" spans="13:30" x14ac:dyDescent="0.2">
      <c r="M172" s="2"/>
      <c r="N172" s="2"/>
      <c r="O172" s="2"/>
      <c r="Y172"/>
      <c r="Z172"/>
      <c r="AA172"/>
      <c r="AB172"/>
      <c r="AC172"/>
      <c r="AD172"/>
    </row>
    <row r="173" spans="13:30" x14ac:dyDescent="0.2">
      <c r="M173" s="2"/>
      <c r="N173" s="2"/>
      <c r="O173" s="2"/>
      <c r="Y173"/>
      <c r="Z173"/>
      <c r="AA173"/>
      <c r="AB173"/>
      <c r="AC173"/>
      <c r="AD173"/>
    </row>
    <row r="174" spans="13:30" x14ac:dyDescent="0.2">
      <c r="M174" s="2"/>
      <c r="N174" s="2"/>
      <c r="O174" s="2"/>
      <c r="Y174"/>
      <c r="Z174"/>
      <c r="AA174"/>
      <c r="AB174"/>
      <c r="AC174"/>
      <c r="AD174"/>
    </row>
    <row r="175" spans="13:30" x14ac:dyDescent="0.2">
      <c r="M175" s="2"/>
      <c r="N175" s="2"/>
      <c r="O175" s="2"/>
      <c r="Y175"/>
      <c r="Z175"/>
      <c r="AA175"/>
      <c r="AB175"/>
      <c r="AC175"/>
      <c r="AD175"/>
    </row>
    <row r="176" spans="13:30" x14ac:dyDescent="0.2">
      <c r="M176" s="2"/>
      <c r="N176" s="2"/>
      <c r="O176" s="2"/>
      <c r="Y176"/>
      <c r="Z176"/>
      <c r="AA176"/>
      <c r="AB176"/>
      <c r="AC176"/>
      <c r="AD176"/>
    </row>
    <row r="177" spans="13:30" x14ac:dyDescent="0.2">
      <c r="M177" s="2"/>
      <c r="N177" s="2"/>
      <c r="O177" s="2"/>
      <c r="Y177"/>
      <c r="Z177"/>
      <c r="AA177"/>
      <c r="AB177"/>
      <c r="AC177"/>
      <c r="AD177"/>
    </row>
    <row r="178" spans="13:30" x14ac:dyDescent="0.2">
      <c r="M178" s="2"/>
      <c r="N178" s="2"/>
      <c r="O178" s="2"/>
      <c r="Y178"/>
      <c r="Z178"/>
      <c r="AA178"/>
      <c r="AB178"/>
      <c r="AC178"/>
      <c r="AD178"/>
    </row>
    <row r="179" spans="13:30" x14ac:dyDescent="0.2">
      <c r="M179" s="2"/>
      <c r="N179" s="2"/>
      <c r="O179" s="2"/>
      <c r="Y179"/>
      <c r="Z179"/>
      <c r="AA179"/>
      <c r="AB179"/>
      <c r="AC179"/>
      <c r="AD179"/>
    </row>
    <row r="180" spans="13:30" x14ac:dyDescent="0.2">
      <c r="M180" s="2"/>
      <c r="N180" s="2"/>
      <c r="O180" s="2"/>
      <c r="Y180"/>
      <c r="Z180"/>
      <c r="AA180"/>
      <c r="AB180"/>
      <c r="AC180"/>
      <c r="AD180"/>
    </row>
    <row r="181" spans="13:30" x14ac:dyDescent="0.2">
      <c r="M181" s="2"/>
      <c r="N181" s="2"/>
      <c r="O181" s="2"/>
      <c r="Y181"/>
      <c r="Z181"/>
      <c r="AA181"/>
      <c r="AB181"/>
      <c r="AC181"/>
      <c r="AD181"/>
    </row>
    <row r="182" spans="13:30" x14ac:dyDescent="0.2">
      <c r="M182" s="2"/>
      <c r="N182" s="2"/>
      <c r="O182" s="2"/>
      <c r="Y182"/>
      <c r="Z182"/>
      <c r="AA182"/>
      <c r="AB182"/>
      <c r="AC182"/>
      <c r="AD182"/>
    </row>
    <row r="183" spans="13:30" x14ac:dyDescent="0.2">
      <c r="M183" s="2"/>
      <c r="N183" s="2"/>
      <c r="O183" s="2"/>
      <c r="Y183"/>
      <c r="Z183"/>
      <c r="AA183"/>
      <c r="AB183"/>
      <c r="AC183"/>
      <c r="AD183"/>
    </row>
    <row r="184" spans="13:30" x14ac:dyDescent="0.2">
      <c r="M184" s="2"/>
      <c r="N184" s="2"/>
      <c r="O184" s="2"/>
      <c r="Y184"/>
      <c r="Z184"/>
      <c r="AA184"/>
      <c r="AB184"/>
      <c r="AC184"/>
      <c r="AD184"/>
    </row>
    <row r="185" spans="13:30" x14ac:dyDescent="0.2">
      <c r="M185" s="2"/>
      <c r="N185" s="2"/>
      <c r="O185" s="2"/>
      <c r="Y185"/>
      <c r="Z185"/>
      <c r="AA185"/>
      <c r="AB185"/>
      <c r="AC185"/>
      <c r="AD185"/>
    </row>
    <row r="186" spans="13:30" x14ac:dyDescent="0.2">
      <c r="M186" s="2"/>
      <c r="N186" s="2"/>
      <c r="O186" s="2"/>
      <c r="Y186"/>
      <c r="Z186"/>
      <c r="AA186"/>
      <c r="AB186"/>
      <c r="AC186"/>
      <c r="AD186"/>
    </row>
    <row r="187" spans="13:30" x14ac:dyDescent="0.2">
      <c r="M187" s="2"/>
      <c r="N187" s="2"/>
      <c r="O187" s="2"/>
      <c r="Y187"/>
      <c r="Z187"/>
      <c r="AA187"/>
      <c r="AB187"/>
      <c r="AC187"/>
      <c r="AD187"/>
    </row>
    <row r="188" spans="13:30" x14ac:dyDescent="0.2">
      <c r="M188" s="2"/>
      <c r="N188" s="2"/>
      <c r="O188" s="2"/>
      <c r="Y188"/>
      <c r="Z188"/>
      <c r="AA188"/>
      <c r="AB188"/>
      <c r="AC188"/>
      <c r="AD188"/>
    </row>
    <row r="189" spans="13:30" x14ac:dyDescent="0.2">
      <c r="M189" s="2"/>
      <c r="N189" s="2"/>
      <c r="O189" s="2"/>
      <c r="Y189"/>
      <c r="Z189"/>
      <c r="AA189"/>
      <c r="AB189"/>
      <c r="AC189"/>
      <c r="AD189"/>
    </row>
    <row r="190" spans="13:30" x14ac:dyDescent="0.2">
      <c r="M190" s="2"/>
      <c r="N190" s="2"/>
      <c r="O190" s="2"/>
      <c r="Y190"/>
      <c r="Z190"/>
      <c r="AA190"/>
      <c r="AB190"/>
      <c r="AC190"/>
      <c r="AD190"/>
    </row>
    <row r="191" spans="13:30" x14ac:dyDescent="0.2">
      <c r="M191" s="2"/>
      <c r="N191" s="2"/>
      <c r="O191" s="2"/>
      <c r="Y191"/>
      <c r="Z191"/>
      <c r="AA191"/>
      <c r="AB191"/>
      <c r="AC191"/>
      <c r="AD191"/>
    </row>
    <row r="192" spans="13:30" x14ac:dyDescent="0.2">
      <c r="M192" s="2"/>
      <c r="N192" s="2"/>
      <c r="O192" s="2"/>
      <c r="Y192"/>
      <c r="Z192"/>
      <c r="AA192"/>
      <c r="AB192"/>
      <c r="AC192"/>
      <c r="AD192"/>
    </row>
    <row r="193" spans="13:30" x14ac:dyDescent="0.2">
      <c r="M193" s="2"/>
      <c r="N193" s="2"/>
      <c r="O193" s="2"/>
      <c r="Y193"/>
      <c r="Z193"/>
      <c r="AA193"/>
      <c r="AB193"/>
      <c r="AC193"/>
      <c r="AD193"/>
    </row>
    <row r="194" spans="13:30" x14ac:dyDescent="0.2">
      <c r="M194" s="2"/>
      <c r="N194" s="2"/>
      <c r="O194" s="2"/>
      <c r="Y194"/>
      <c r="Z194"/>
      <c r="AA194"/>
      <c r="AB194"/>
      <c r="AC194"/>
      <c r="AD194"/>
    </row>
    <row r="195" spans="13:30" x14ac:dyDescent="0.2">
      <c r="M195" s="2"/>
      <c r="N195" s="2"/>
      <c r="O195" s="2"/>
      <c r="Y195"/>
      <c r="Z195"/>
      <c r="AA195"/>
      <c r="AB195"/>
      <c r="AC195"/>
      <c r="AD195"/>
    </row>
    <row r="196" spans="13:30" x14ac:dyDescent="0.2">
      <c r="M196" s="2"/>
      <c r="N196" s="2"/>
      <c r="O196" s="2"/>
      <c r="Y196"/>
      <c r="Z196"/>
      <c r="AA196"/>
      <c r="AB196"/>
      <c r="AC196"/>
      <c r="AD196"/>
    </row>
    <row r="197" spans="13:30" x14ac:dyDescent="0.2">
      <c r="M197" s="2"/>
      <c r="N197" s="2"/>
      <c r="O197" s="2"/>
      <c r="Y197"/>
      <c r="Z197"/>
      <c r="AA197"/>
      <c r="AB197"/>
      <c r="AC197"/>
      <c r="AD197"/>
    </row>
    <row r="198" spans="13:30" x14ac:dyDescent="0.2">
      <c r="M198" s="2"/>
      <c r="N198" s="2"/>
      <c r="O198" s="2"/>
      <c r="Y198"/>
      <c r="Z198"/>
      <c r="AA198"/>
      <c r="AB198"/>
      <c r="AC198"/>
      <c r="AD198"/>
    </row>
    <row r="199" spans="13:30" x14ac:dyDescent="0.2">
      <c r="M199" s="2"/>
      <c r="N199" s="2"/>
      <c r="O199" s="2"/>
      <c r="Y199"/>
      <c r="Z199"/>
      <c r="AA199"/>
      <c r="AB199"/>
      <c r="AC199"/>
      <c r="AD199"/>
    </row>
    <row r="200" spans="13:30" x14ac:dyDescent="0.2">
      <c r="M200" s="2"/>
      <c r="N200" s="2"/>
      <c r="O200" s="2"/>
      <c r="Y200"/>
      <c r="Z200"/>
      <c r="AA200"/>
      <c r="AB200"/>
      <c r="AC200"/>
      <c r="AD200"/>
    </row>
    <row r="201" spans="13:30" x14ac:dyDescent="0.2">
      <c r="M201" s="2"/>
      <c r="N201" s="2"/>
      <c r="O201" s="2"/>
      <c r="Y201"/>
      <c r="Z201"/>
      <c r="AA201"/>
      <c r="AB201"/>
      <c r="AC201"/>
      <c r="AD201"/>
    </row>
    <row r="202" spans="13:30" x14ac:dyDescent="0.2">
      <c r="M202" s="2"/>
      <c r="N202" s="2"/>
      <c r="O202" s="2"/>
      <c r="Y202"/>
      <c r="Z202"/>
      <c r="AA202"/>
      <c r="AB202"/>
      <c r="AC202"/>
      <c r="AD202"/>
    </row>
    <row r="203" spans="13:30" x14ac:dyDescent="0.2">
      <c r="M203" s="2"/>
      <c r="N203" s="2"/>
      <c r="O203" s="2"/>
      <c r="Y203"/>
      <c r="Z203"/>
      <c r="AA203"/>
      <c r="AB203"/>
      <c r="AC203"/>
      <c r="AD203"/>
    </row>
    <row r="204" spans="13:30" x14ac:dyDescent="0.2">
      <c r="M204" s="2"/>
      <c r="N204" s="2"/>
      <c r="O204" s="2"/>
      <c r="Y204"/>
      <c r="Z204"/>
      <c r="AA204"/>
      <c r="AB204"/>
      <c r="AC204"/>
      <c r="AD204"/>
    </row>
    <row r="205" spans="13:30" x14ac:dyDescent="0.2">
      <c r="M205" s="2"/>
      <c r="N205" s="2"/>
      <c r="O205" s="2"/>
      <c r="Y205"/>
      <c r="Z205"/>
      <c r="AA205"/>
      <c r="AB205"/>
      <c r="AC205"/>
      <c r="AD205"/>
    </row>
    <row r="206" spans="13:30" x14ac:dyDescent="0.2">
      <c r="M206" s="2"/>
      <c r="N206" s="2"/>
      <c r="O206" s="2"/>
      <c r="Y206"/>
      <c r="Z206"/>
      <c r="AA206"/>
      <c r="AB206"/>
      <c r="AC206"/>
      <c r="AD206"/>
    </row>
    <row r="207" spans="13:30" x14ac:dyDescent="0.2">
      <c r="M207" s="2"/>
      <c r="N207" s="2"/>
      <c r="O207" s="2"/>
      <c r="Y207"/>
      <c r="Z207"/>
      <c r="AA207"/>
      <c r="AB207"/>
      <c r="AC207"/>
      <c r="AD207"/>
    </row>
    <row r="208" spans="13:30" x14ac:dyDescent="0.2">
      <c r="M208" s="2"/>
      <c r="N208" s="2"/>
      <c r="O208" s="2"/>
      <c r="Y208"/>
      <c r="Z208"/>
      <c r="AA208"/>
      <c r="AB208"/>
      <c r="AC208"/>
      <c r="AD208"/>
    </row>
    <row r="209" spans="13:30" x14ac:dyDescent="0.2">
      <c r="M209" s="2"/>
      <c r="N209" s="2"/>
      <c r="O209" s="2"/>
      <c r="Y209"/>
      <c r="Z209"/>
      <c r="AA209"/>
      <c r="AB209"/>
      <c r="AC209"/>
      <c r="AD209"/>
    </row>
    <row r="210" spans="13:30" x14ac:dyDescent="0.2">
      <c r="M210" s="2"/>
      <c r="N210" s="2"/>
      <c r="O210" s="2"/>
      <c r="Y210"/>
      <c r="Z210"/>
      <c r="AA210"/>
      <c r="AB210"/>
      <c r="AC210"/>
      <c r="AD210"/>
    </row>
    <row r="211" spans="13:30" x14ac:dyDescent="0.2">
      <c r="M211" s="2"/>
      <c r="N211" s="2"/>
      <c r="O211" s="2"/>
      <c r="Y211"/>
      <c r="Z211"/>
      <c r="AA211"/>
      <c r="AB211"/>
      <c r="AC211"/>
      <c r="AD211"/>
    </row>
    <row r="212" spans="13:30" x14ac:dyDescent="0.2">
      <c r="M212" s="2"/>
      <c r="N212" s="2"/>
      <c r="O212" s="2"/>
      <c r="Y212"/>
      <c r="Z212"/>
      <c r="AA212"/>
      <c r="AB212"/>
      <c r="AC212"/>
      <c r="AD212"/>
    </row>
    <row r="213" spans="13:30" x14ac:dyDescent="0.2">
      <c r="M213" s="2"/>
      <c r="N213" s="2"/>
      <c r="O213" s="2"/>
      <c r="Y213"/>
      <c r="Z213"/>
      <c r="AA213"/>
      <c r="AB213"/>
      <c r="AC213"/>
      <c r="AD213"/>
    </row>
    <row r="214" spans="13:30" x14ac:dyDescent="0.2">
      <c r="M214" s="2"/>
      <c r="N214" s="2"/>
      <c r="O214" s="2"/>
      <c r="Y214"/>
      <c r="Z214"/>
      <c r="AA214"/>
      <c r="AB214"/>
      <c r="AC214"/>
      <c r="AD214"/>
    </row>
    <row r="215" spans="13:30" x14ac:dyDescent="0.2">
      <c r="M215" s="2"/>
      <c r="N215" s="2"/>
      <c r="O215" s="2"/>
      <c r="Y215"/>
      <c r="Z215"/>
      <c r="AA215"/>
      <c r="AB215"/>
      <c r="AC215"/>
      <c r="AD215"/>
    </row>
    <row r="216" spans="13:30" x14ac:dyDescent="0.2">
      <c r="M216" s="2"/>
      <c r="N216" s="2"/>
      <c r="O216" s="2"/>
      <c r="Y216"/>
      <c r="Z216"/>
      <c r="AA216"/>
      <c r="AB216"/>
      <c r="AC216"/>
      <c r="AD216"/>
    </row>
    <row r="217" spans="13:30" x14ac:dyDescent="0.2">
      <c r="M217" s="2"/>
      <c r="N217" s="2"/>
      <c r="O217" s="2"/>
      <c r="Y217"/>
      <c r="Z217"/>
      <c r="AA217"/>
      <c r="AB217"/>
      <c r="AC217"/>
      <c r="AD217"/>
    </row>
    <row r="218" spans="13:30" x14ac:dyDescent="0.2">
      <c r="M218" s="2"/>
      <c r="N218" s="2"/>
      <c r="O218" s="2"/>
      <c r="Y218"/>
      <c r="Z218"/>
      <c r="AA218"/>
      <c r="AB218"/>
      <c r="AC218"/>
      <c r="AD218"/>
    </row>
    <row r="219" spans="13:30" x14ac:dyDescent="0.2">
      <c r="M219" s="2"/>
      <c r="N219" s="2"/>
      <c r="O219" s="2"/>
      <c r="Y219"/>
      <c r="Z219"/>
      <c r="AA219"/>
      <c r="AB219"/>
      <c r="AC219"/>
      <c r="AD219"/>
    </row>
    <row r="220" spans="13:30" x14ac:dyDescent="0.2">
      <c r="M220" s="2"/>
      <c r="N220" s="2"/>
      <c r="O220" s="2"/>
      <c r="Y220"/>
      <c r="Z220"/>
      <c r="AA220"/>
      <c r="AB220"/>
      <c r="AC220"/>
      <c r="AD220"/>
    </row>
    <row r="221" spans="13:30" x14ac:dyDescent="0.2">
      <c r="M221" s="2"/>
      <c r="N221" s="2"/>
      <c r="O221" s="2"/>
      <c r="Y221"/>
      <c r="Z221"/>
      <c r="AA221"/>
      <c r="AB221"/>
      <c r="AC221"/>
      <c r="AD221"/>
    </row>
    <row r="222" spans="13:30" x14ac:dyDescent="0.2">
      <c r="M222" s="2"/>
      <c r="N222" s="2"/>
      <c r="O222" s="2"/>
      <c r="Y222"/>
      <c r="Z222"/>
      <c r="AA222"/>
      <c r="AB222"/>
      <c r="AC222"/>
      <c r="AD222"/>
    </row>
    <row r="223" spans="13:30" x14ac:dyDescent="0.2">
      <c r="M223" s="2"/>
      <c r="N223" s="2"/>
      <c r="O223" s="2"/>
      <c r="Y223"/>
      <c r="Z223"/>
      <c r="AA223"/>
      <c r="AB223"/>
      <c r="AC223"/>
      <c r="AD223"/>
    </row>
    <row r="224" spans="13:30" x14ac:dyDescent="0.2">
      <c r="M224" s="2"/>
      <c r="N224" s="2"/>
      <c r="O224" s="2"/>
      <c r="Y224"/>
      <c r="Z224"/>
      <c r="AA224"/>
      <c r="AB224"/>
      <c r="AC224"/>
      <c r="AD224"/>
    </row>
    <row r="225" spans="13:30" x14ac:dyDescent="0.2">
      <c r="M225" s="2"/>
      <c r="N225" s="2"/>
      <c r="O225" s="2"/>
      <c r="Y225"/>
      <c r="Z225"/>
      <c r="AA225"/>
      <c r="AB225"/>
      <c r="AC225"/>
      <c r="AD225"/>
    </row>
    <row r="226" spans="13:30" x14ac:dyDescent="0.2">
      <c r="M226" s="2"/>
      <c r="N226" s="2"/>
      <c r="O226" s="2"/>
      <c r="Y226"/>
      <c r="Z226"/>
      <c r="AA226"/>
      <c r="AB226"/>
      <c r="AC226"/>
      <c r="AD226"/>
    </row>
    <row r="227" spans="13:30" x14ac:dyDescent="0.2">
      <c r="M227" s="2"/>
      <c r="N227" s="2"/>
      <c r="O227" s="2"/>
      <c r="Y227"/>
      <c r="Z227"/>
      <c r="AA227"/>
      <c r="AB227"/>
      <c r="AC227"/>
      <c r="AD227"/>
    </row>
    <row r="228" spans="13:30" x14ac:dyDescent="0.2">
      <c r="M228" s="2"/>
      <c r="N228" s="2"/>
      <c r="O228" s="2"/>
      <c r="Y228"/>
      <c r="Z228"/>
      <c r="AA228"/>
      <c r="AB228"/>
      <c r="AC228"/>
      <c r="AD228"/>
    </row>
    <row r="229" spans="13:30" x14ac:dyDescent="0.2">
      <c r="M229" s="2"/>
      <c r="N229" s="2"/>
      <c r="O229" s="2"/>
      <c r="Y229"/>
      <c r="Z229"/>
      <c r="AA229"/>
      <c r="AB229"/>
      <c r="AC229"/>
      <c r="AD229"/>
    </row>
    <row r="230" spans="13:30" x14ac:dyDescent="0.2">
      <c r="M230" s="2"/>
      <c r="N230" s="2"/>
      <c r="O230" s="2"/>
      <c r="Y230"/>
      <c r="Z230"/>
      <c r="AA230"/>
      <c r="AB230"/>
      <c r="AC230"/>
      <c r="AD230"/>
    </row>
    <row r="231" spans="13:30" x14ac:dyDescent="0.2">
      <c r="M231" s="2"/>
      <c r="N231" s="2"/>
      <c r="O231" s="2"/>
      <c r="Y231"/>
      <c r="Z231"/>
      <c r="AA231"/>
      <c r="AB231"/>
      <c r="AC231"/>
      <c r="AD231"/>
    </row>
    <row r="232" spans="13:30" x14ac:dyDescent="0.2">
      <c r="M232" s="2"/>
      <c r="N232" s="2"/>
      <c r="O232" s="2"/>
      <c r="Y232"/>
      <c r="Z232"/>
      <c r="AA232"/>
      <c r="AB232"/>
      <c r="AC232"/>
      <c r="AD232"/>
    </row>
    <row r="233" spans="13:30" x14ac:dyDescent="0.2">
      <c r="M233" s="2"/>
      <c r="N233" s="2"/>
      <c r="O233" s="2"/>
      <c r="Y233"/>
      <c r="Z233"/>
      <c r="AA233"/>
      <c r="AB233"/>
      <c r="AC233"/>
      <c r="AD233"/>
    </row>
    <row r="234" spans="13:30" x14ac:dyDescent="0.2">
      <c r="M234" s="2"/>
      <c r="N234" s="2"/>
      <c r="O234" s="2"/>
      <c r="Y234"/>
      <c r="Z234"/>
      <c r="AA234"/>
      <c r="AB234"/>
      <c r="AC234"/>
      <c r="AD234"/>
    </row>
    <row r="235" spans="13:30" x14ac:dyDescent="0.2">
      <c r="M235" s="2"/>
      <c r="N235" s="2"/>
      <c r="O235" s="2"/>
      <c r="Y235"/>
      <c r="Z235"/>
      <c r="AA235"/>
      <c r="AB235"/>
      <c r="AC235"/>
      <c r="AD235"/>
    </row>
    <row r="236" spans="13:30" x14ac:dyDescent="0.2">
      <c r="M236" s="2"/>
      <c r="N236" s="2"/>
      <c r="O236" s="2"/>
      <c r="Y236"/>
      <c r="Z236"/>
      <c r="AA236"/>
      <c r="AB236"/>
      <c r="AC236"/>
      <c r="AD236"/>
    </row>
    <row r="237" spans="13:30" x14ac:dyDescent="0.2">
      <c r="M237" s="2"/>
      <c r="N237" s="2"/>
      <c r="O237" s="2"/>
      <c r="Y237"/>
      <c r="Z237"/>
      <c r="AA237"/>
      <c r="AB237"/>
      <c r="AC237"/>
      <c r="AD237"/>
    </row>
    <row r="238" spans="13:30" x14ac:dyDescent="0.2">
      <c r="M238" s="2"/>
      <c r="N238" s="2"/>
      <c r="O238" s="2"/>
      <c r="Y238"/>
      <c r="Z238"/>
      <c r="AA238"/>
      <c r="AB238"/>
      <c r="AC238"/>
      <c r="AD238"/>
    </row>
    <row r="239" spans="13:30" x14ac:dyDescent="0.2">
      <c r="M239" s="2"/>
      <c r="N239" s="2"/>
      <c r="O239" s="2"/>
      <c r="Y239"/>
      <c r="Z239"/>
      <c r="AA239"/>
      <c r="AB239"/>
      <c r="AC239"/>
      <c r="AD239"/>
    </row>
    <row r="240" spans="13:30" x14ac:dyDescent="0.2">
      <c r="M240" s="2"/>
      <c r="N240" s="2"/>
      <c r="O240" s="2"/>
      <c r="Y240"/>
      <c r="Z240"/>
      <c r="AA240"/>
      <c r="AB240"/>
      <c r="AC240"/>
      <c r="AD240"/>
    </row>
    <row r="241" spans="13:30" x14ac:dyDescent="0.2">
      <c r="M241" s="2"/>
      <c r="N241" s="2"/>
      <c r="O241" s="2"/>
      <c r="Y241"/>
      <c r="Z241"/>
      <c r="AA241"/>
      <c r="AB241"/>
      <c r="AC241"/>
      <c r="AD241"/>
    </row>
    <row r="242" spans="13:30" x14ac:dyDescent="0.2">
      <c r="M242" s="2"/>
      <c r="N242" s="2"/>
      <c r="O242" s="2"/>
      <c r="Y242"/>
      <c r="Z242"/>
      <c r="AA242"/>
      <c r="AB242"/>
      <c r="AC242"/>
      <c r="AD242"/>
    </row>
    <row r="243" spans="13:30" x14ac:dyDescent="0.2">
      <c r="M243" s="2"/>
      <c r="N243" s="2"/>
      <c r="O243" s="2"/>
      <c r="Y243"/>
      <c r="Z243"/>
      <c r="AA243"/>
      <c r="AB243"/>
      <c r="AC243"/>
      <c r="AD243"/>
    </row>
    <row r="244" spans="13:30" x14ac:dyDescent="0.2">
      <c r="M244" s="2"/>
      <c r="N244" s="2"/>
      <c r="O244" s="2"/>
      <c r="Y244"/>
      <c r="Z244"/>
      <c r="AA244"/>
      <c r="AB244"/>
      <c r="AC244"/>
      <c r="AD244"/>
    </row>
    <row r="245" spans="13:30" x14ac:dyDescent="0.2">
      <c r="M245" s="2"/>
      <c r="N245" s="2"/>
      <c r="O245" s="2"/>
      <c r="Y245"/>
      <c r="Z245"/>
      <c r="AA245"/>
      <c r="AB245"/>
      <c r="AC245"/>
      <c r="AD245"/>
    </row>
    <row r="246" spans="13:30" x14ac:dyDescent="0.2">
      <c r="M246" s="2"/>
      <c r="N246" s="2"/>
      <c r="O246" s="2"/>
      <c r="Y246"/>
      <c r="Z246"/>
      <c r="AA246"/>
      <c r="AB246"/>
      <c r="AC246"/>
      <c r="AD246"/>
    </row>
    <row r="247" spans="13:30" x14ac:dyDescent="0.2">
      <c r="M247" s="2"/>
      <c r="N247" s="2"/>
      <c r="O247" s="2"/>
      <c r="Y247"/>
      <c r="Z247"/>
      <c r="AA247"/>
      <c r="AB247"/>
      <c r="AC247"/>
      <c r="AD247"/>
    </row>
    <row r="248" spans="13:30" x14ac:dyDescent="0.2">
      <c r="M248" s="2"/>
      <c r="N248" s="2"/>
      <c r="O248" s="2"/>
      <c r="Y248"/>
      <c r="Z248"/>
      <c r="AA248"/>
      <c r="AB248"/>
      <c r="AC248"/>
      <c r="AD248"/>
    </row>
    <row r="249" spans="13:30" x14ac:dyDescent="0.2">
      <c r="M249" s="2"/>
      <c r="N249" s="2"/>
      <c r="O249" s="2"/>
      <c r="Y249"/>
      <c r="Z249"/>
      <c r="AA249"/>
      <c r="AB249"/>
      <c r="AC249"/>
      <c r="AD249"/>
    </row>
    <row r="250" spans="13:30" x14ac:dyDescent="0.2">
      <c r="M250" s="2"/>
      <c r="N250" s="2"/>
      <c r="O250" s="2"/>
      <c r="Y250"/>
      <c r="Z250"/>
      <c r="AA250"/>
      <c r="AB250"/>
      <c r="AC250"/>
      <c r="AD250"/>
    </row>
    <row r="251" spans="13:30" x14ac:dyDescent="0.2">
      <c r="M251" s="2"/>
      <c r="N251" s="2"/>
      <c r="O251" s="2"/>
      <c r="Y251"/>
      <c r="Z251"/>
      <c r="AA251"/>
      <c r="AB251"/>
      <c r="AC251"/>
      <c r="AD251"/>
    </row>
    <row r="252" spans="13:30" x14ac:dyDescent="0.2">
      <c r="M252" s="2"/>
      <c r="N252" s="2"/>
      <c r="O252" s="2"/>
      <c r="Y252"/>
      <c r="Z252"/>
      <c r="AA252"/>
      <c r="AB252"/>
      <c r="AC252"/>
      <c r="AD252"/>
    </row>
    <row r="253" spans="13:30" x14ac:dyDescent="0.2">
      <c r="M253" s="2"/>
      <c r="N253" s="2"/>
      <c r="O253" s="2"/>
      <c r="Y253"/>
      <c r="Z253"/>
      <c r="AA253"/>
      <c r="AB253"/>
      <c r="AC253"/>
      <c r="AD253"/>
    </row>
    <row r="254" spans="13:30" x14ac:dyDescent="0.2">
      <c r="M254" s="2"/>
      <c r="N254" s="2"/>
      <c r="O254" s="2"/>
      <c r="Y254"/>
      <c r="Z254"/>
      <c r="AA254"/>
      <c r="AB254"/>
      <c r="AC254"/>
      <c r="AD254"/>
    </row>
    <row r="255" spans="13:30" x14ac:dyDescent="0.2">
      <c r="M255" s="2"/>
      <c r="N255" s="2"/>
      <c r="O255" s="2"/>
      <c r="Y255"/>
      <c r="Z255"/>
      <c r="AA255"/>
      <c r="AB255"/>
      <c r="AC255"/>
      <c r="AD255"/>
    </row>
    <row r="256" spans="13:30" x14ac:dyDescent="0.2">
      <c r="M256" s="2"/>
      <c r="N256" s="2"/>
      <c r="O256" s="2"/>
      <c r="Y256"/>
      <c r="Z256"/>
      <c r="AA256"/>
      <c r="AB256"/>
      <c r="AC256"/>
      <c r="AD256"/>
    </row>
    <row r="257" spans="13:30" x14ac:dyDescent="0.2">
      <c r="M257" s="2"/>
      <c r="N257" s="2"/>
      <c r="O257" s="2"/>
      <c r="Y257"/>
      <c r="Z257"/>
      <c r="AA257"/>
      <c r="AB257"/>
      <c r="AC257"/>
      <c r="AD257"/>
    </row>
    <row r="258" spans="13:30" x14ac:dyDescent="0.2">
      <c r="M258" s="2"/>
      <c r="N258" s="2"/>
      <c r="O258" s="2"/>
      <c r="Y258"/>
      <c r="Z258"/>
      <c r="AA258"/>
      <c r="AB258"/>
      <c r="AC258"/>
      <c r="AD258"/>
    </row>
    <row r="259" spans="13:30" x14ac:dyDescent="0.2">
      <c r="M259" s="2"/>
      <c r="N259" s="2"/>
      <c r="O259" s="2"/>
      <c r="Y259"/>
      <c r="Z259"/>
      <c r="AA259"/>
      <c r="AB259"/>
      <c r="AC259"/>
      <c r="AD259"/>
    </row>
    <row r="260" spans="13:30" x14ac:dyDescent="0.2">
      <c r="M260" s="2"/>
      <c r="N260" s="2"/>
      <c r="O260" s="2"/>
      <c r="Y260"/>
      <c r="Z260"/>
      <c r="AA260"/>
      <c r="AB260"/>
      <c r="AC260"/>
      <c r="AD260"/>
    </row>
    <row r="261" spans="13:30" x14ac:dyDescent="0.2">
      <c r="M261" s="2"/>
      <c r="N261" s="2"/>
      <c r="O261" s="2"/>
      <c r="Y261"/>
      <c r="Z261"/>
      <c r="AA261"/>
      <c r="AB261"/>
      <c r="AC261"/>
      <c r="AD261"/>
    </row>
    <row r="262" spans="13:30" x14ac:dyDescent="0.2">
      <c r="M262" s="2"/>
      <c r="N262" s="2"/>
      <c r="O262" s="2"/>
      <c r="Y262"/>
      <c r="Z262"/>
      <c r="AA262"/>
      <c r="AB262"/>
      <c r="AC262"/>
      <c r="AD262"/>
    </row>
    <row r="263" spans="13:30" x14ac:dyDescent="0.2">
      <c r="M263" s="2"/>
      <c r="N263" s="2"/>
      <c r="O263" s="2"/>
      <c r="Y263"/>
      <c r="Z263"/>
      <c r="AA263"/>
      <c r="AB263"/>
      <c r="AC263"/>
      <c r="AD263"/>
    </row>
    <row r="264" spans="13:30" x14ac:dyDescent="0.2">
      <c r="M264" s="2"/>
      <c r="N264" s="2"/>
      <c r="O264" s="2"/>
      <c r="Y264"/>
      <c r="Z264"/>
      <c r="AA264"/>
      <c r="AB264"/>
      <c r="AC264"/>
      <c r="AD264"/>
    </row>
    <row r="265" spans="13:30" x14ac:dyDescent="0.2">
      <c r="M265" s="2"/>
      <c r="N265" s="2"/>
      <c r="O265" s="2"/>
      <c r="Y265"/>
      <c r="Z265"/>
      <c r="AA265"/>
      <c r="AB265"/>
      <c r="AC265"/>
      <c r="AD265"/>
    </row>
    <row r="266" spans="13:30" x14ac:dyDescent="0.2">
      <c r="M266" s="2"/>
      <c r="N266" s="2"/>
      <c r="O266" s="2"/>
      <c r="Y266"/>
      <c r="Z266"/>
      <c r="AA266"/>
      <c r="AB266"/>
      <c r="AC266"/>
      <c r="AD266"/>
    </row>
    <row r="267" spans="13:30" x14ac:dyDescent="0.2">
      <c r="M267" s="2"/>
      <c r="N267" s="2"/>
      <c r="O267" s="2"/>
      <c r="Y267"/>
      <c r="Z267"/>
      <c r="AA267"/>
      <c r="AB267"/>
      <c r="AC267"/>
      <c r="AD267"/>
    </row>
    <row r="268" spans="13:30" x14ac:dyDescent="0.2">
      <c r="M268" s="2"/>
      <c r="N268" s="2"/>
      <c r="O268" s="2"/>
      <c r="Y268"/>
      <c r="Z268"/>
      <c r="AA268"/>
      <c r="AB268"/>
      <c r="AC268"/>
      <c r="AD268"/>
    </row>
    <row r="269" spans="13:30" x14ac:dyDescent="0.2">
      <c r="M269" s="2"/>
      <c r="N269" s="2"/>
      <c r="O269" s="2"/>
      <c r="Y269"/>
      <c r="Z269"/>
      <c r="AA269"/>
      <c r="AB269"/>
      <c r="AC269"/>
      <c r="AD269"/>
    </row>
    <row r="270" spans="13:30" x14ac:dyDescent="0.2">
      <c r="M270" s="2"/>
      <c r="N270" s="2"/>
      <c r="O270" s="2"/>
      <c r="Y270"/>
      <c r="Z270"/>
      <c r="AA270"/>
      <c r="AB270"/>
      <c r="AC270"/>
      <c r="AD270"/>
    </row>
    <row r="271" spans="13:30" x14ac:dyDescent="0.2">
      <c r="M271" s="2"/>
      <c r="N271" s="2"/>
      <c r="O271" s="2"/>
      <c r="Y271"/>
      <c r="Z271"/>
      <c r="AA271"/>
      <c r="AB271"/>
      <c r="AC271"/>
      <c r="AD271"/>
    </row>
    <row r="272" spans="13:30" x14ac:dyDescent="0.2">
      <c r="M272" s="2"/>
      <c r="N272" s="2"/>
      <c r="O272" s="2"/>
      <c r="Y272"/>
      <c r="Z272"/>
      <c r="AA272"/>
      <c r="AB272"/>
      <c r="AC272"/>
      <c r="AD272"/>
    </row>
    <row r="273" spans="13:30" x14ac:dyDescent="0.2">
      <c r="M273" s="2"/>
      <c r="N273" s="2"/>
      <c r="O273" s="2"/>
      <c r="Y273"/>
      <c r="Z273"/>
      <c r="AA273"/>
      <c r="AB273"/>
      <c r="AC273"/>
      <c r="AD273"/>
    </row>
    <row r="274" spans="13:30" x14ac:dyDescent="0.2">
      <c r="M274" s="2"/>
      <c r="N274" s="2"/>
      <c r="O274" s="2"/>
      <c r="Y274"/>
      <c r="Z274"/>
      <c r="AA274"/>
      <c r="AB274"/>
      <c r="AC274"/>
      <c r="AD274"/>
    </row>
    <row r="275" spans="13:30" x14ac:dyDescent="0.2">
      <c r="M275" s="2"/>
      <c r="N275" s="2"/>
      <c r="O275" s="2"/>
      <c r="Y275"/>
      <c r="Z275"/>
      <c r="AA275"/>
      <c r="AB275"/>
      <c r="AC275"/>
      <c r="AD275"/>
    </row>
    <row r="276" spans="13:30" x14ac:dyDescent="0.2">
      <c r="M276" s="2"/>
      <c r="N276" s="2"/>
      <c r="O276" s="2"/>
      <c r="Y276"/>
      <c r="Z276"/>
      <c r="AA276"/>
      <c r="AB276"/>
      <c r="AC276"/>
      <c r="AD276"/>
    </row>
    <row r="277" spans="13:30" x14ac:dyDescent="0.2">
      <c r="M277" s="2"/>
      <c r="N277" s="2"/>
      <c r="O277" s="2"/>
      <c r="Y277"/>
      <c r="Z277"/>
      <c r="AA277"/>
      <c r="AB277"/>
      <c r="AC277"/>
      <c r="AD277"/>
    </row>
    <row r="278" spans="13:30" x14ac:dyDescent="0.2">
      <c r="M278" s="2"/>
      <c r="N278" s="2"/>
      <c r="O278" s="2"/>
      <c r="Y278"/>
      <c r="Z278"/>
      <c r="AA278"/>
      <c r="AB278"/>
      <c r="AC278"/>
      <c r="AD278"/>
    </row>
    <row r="279" spans="13:30" x14ac:dyDescent="0.2">
      <c r="M279" s="2"/>
      <c r="N279" s="2"/>
      <c r="O279" s="2"/>
      <c r="Y279"/>
      <c r="Z279"/>
      <c r="AA279"/>
      <c r="AB279"/>
      <c r="AC279"/>
      <c r="AD279"/>
    </row>
    <row r="280" spans="13:30" x14ac:dyDescent="0.2">
      <c r="M280" s="2"/>
      <c r="N280" s="2"/>
      <c r="O280" s="2"/>
      <c r="Y280"/>
      <c r="Z280"/>
      <c r="AA280"/>
      <c r="AB280"/>
      <c r="AC280"/>
      <c r="AD280"/>
    </row>
    <row r="281" spans="13:30" x14ac:dyDescent="0.2">
      <c r="M281" s="2"/>
      <c r="N281" s="2"/>
      <c r="O281" s="2"/>
      <c r="Y281"/>
      <c r="Z281"/>
      <c r="AA281"/>
      <c r="AB281"/>
      <c r="AC281"/>
      <c r="AD281"/>
    </row>
    <row r="282" spans="13:30" x14ac:dyDescent="0.2">
      <c r="M282" s="2"/>
      <c r="N282" s="2"/>
      <c r="O282" s="2"/>
      <c r="Y282"/>
      <c r="Z282"/>
      <c r="AA282"/>
      <c r="AB282"/>
      <c r="AC282"/>
      <c r="AD282"/>
    </row>
    <row r="283" spans="13:30" x14ac:dyDescent="0.2">
      <c r="M283" s="2"/>
      <c r="N283" s="2"/>
      <c r="O283" s="2"/>
      <c r="Y283"/>
      <c r="Z283"/>
      <c r="AA283"/>
      <c r="AB283"/>
      <c r="AC283"/>
      <c r="AD283"/>
    </row>
    <row r="284" spans="13:30" x14ac:dyDescent="0.2">
      <c r="M284" s="2"/>
      <c r="N284" s="2"/>
      <c r="O284" s="2"/>
      <c r="Y284"/>
      <c r="Z284"/>
      <c r="AA284"/>
      <c r="AB284"/>
      <c r="AC284"/>
      <c r="AD284"/>
    </row>
    <row r="285" spans="13:30" x14ac:dyDescent="0.2">
      <c r="M285" s="2"/>
      <c r="N285" s="2"/>
      <c r="O285" s="2"/>
      <c r="Y285"/>
      <c r="Z285"/>
      <c r="AA285"/>
      <c r="AB285"/>
      <c r="AC285"/>
      <c r="AD285"/>
    </row>
    <row r="286" spans="13:30" x14ac:dyDescent="0.2">
      <c r="M286" s="2"/>
      <c r="N286" s="2"/>
      <c r="O286" s="2"/>
      <c r="Y286"/>
      <c r="Z286"/>
      <c r="AA286"/>
      <c r="AB286"/>
      <c r="AC286"/>
      <c r="AD286"/>
    </row>
    <row r="287" spans="13:30" x14ac:dyDescent="0.2">
      <c r="M287" s="2"/>
      <c r="N287" s="2"/>
      <c r="O287" s="2"/>
      <c r="Y287"/>
      <c r="Z287"/>
      <c r="AA287"/>
      <c r="AB287"/>
      <c r="AC287"/>
      <c r="AD287"/>
    </row>
    <row r="288" spans="13:30" x14ac:dyDescent="0.2">
      <c r="M288" s="2"/>
      <c r="N288" s="2"/>
      <c r="O288" s="2"/>
      <c r="Y288"/>
      <c r="Z288"/>
      <c r="AA288"/>
      <c r="AB288"/>
      <c r="AC288"/>
      <c r="AD288"/>
    </row>
    <row r="289" spans="13:30" x14ac:dyDescent="0.2">
      <c r="M289" s="2"/>
      <c r="N289" s="2"/>
      <c r="O289" s="2"/>
      <c r="Y289"/>
      <c r="Z289"/>
      <c r="AA289"/>
      <c r="AB289"/>
      <c r="AC289"/>
      <c r="AD289"/>
    </row>
    <row r="290" spans="13:30" x14ac:dyDescent="0.2">
      <c r="M290" s="2"/>
      <c r="N290" s="2"/>
      <c r="O290" s="2"/>
      <c r="Y290"/>
      <c r="Z290"/>
      <c r="AA290"/>
      <c r="AB290"/>
      <c r="AC290"/>
      <c r="AD290"/>
    </row>
    <row r="291" spans="13:30" x14ac:dyDescent="0.2">
      <c r="M291" s="2"/>
      <c r="N291" s="2"/>
      <c r="O291" s="2"/>
      <c r="Y291"/>
      <c r="Z291"/>
      <c r="AA291"/>
      <c r="AB291"/>
      <c r="AC291"/>
      <c r="AD291"/>
    </row>
    <row r="292" spans="13:30" x14ac:dyDescent="0.2">
      <c r="M292" s="2"/>
      <c r="N292" s="2"/>
      <c r="O292" s="2"/>
      <c r="Y292"/>
      <c r="Z292"/>
      <c r="AA292"/>
      <c r="AB292"/>
      <c r="AC292"/>
      <c r="AD292"/>
    </row>
    <row r="293" spans="13:30" x14ac:dyDescent="0.2">
      <c r="M293" s="2"/>
      <c r="N293" s="2"/>
      <c r="O293" s="2"/>
      <c r="Y293"/>
      <c r="Z293"/>
      <c r="AA293"/>
      <c r="AB293"/>
      <c r="AC293"/>
      <c r="AD293"/>
    </row>
    <row r="294" spans="13:30" x14ac:dyDescent="0.2">
      <c r="M294" s="2"/>
      <c r="N294" s="2"/>
      <c r="O294" s="2"/>
      <c r="Y294"/>
      <c r="Z294"/>
      <c r="AA294"/>
      <c r="AB294"/>
      <c r="AC294"/>
      <c r="AD294"/>
    </row>
    <row r="295" spans="13:30" x14ac:dyDescent="0.2">
      <c r="M295" s="2"/>
      <c r="N295" s="2"/>
      <c r="O295" s="2"/>
      <c r="Y295"/>
      <c r="Z295"/>
      <c r="AA295"/>
      <c r="AB295"/>
      <c r="AC295"/>
      <c r="AD295"/>
    </row>
    <row r="296" spans="13:30" x14ac:dyDescent="0.2">
      <c r="M296" s="2"/>
      <c r="N296" s="2"/>
      <c r="O296" s="2"/>
      <c r="Y296"/>
      <c r="Z296"/>
      <c r="AA296"/>
      <c r="AB296"/>
      <c r="AC296"/>
      <c r="AD296"/>
    </row>
    <row r="297" spans="13:30" x14ac:dyDescent="0.2">
      <c r="M297" s="2"/>
      <c r="N297" s="2"/>
      <c r="O297" s="2"/>
      <c r="Y297"/>
      <c r="Z297"/>
      <c r="AA297"/>
      <c r="AB297"/>
      <c r="AC297"/>
      <c r="AD297"/>
    </row>
    <row r="298" spans="13:30" x14ac:dyDescent="0.2">
      <c r="M298" s="2"/>
      <c r="N298" s="2"/>
      <c r="O298" s="2"/>
      <c r="Y298"/>
      <c r="Z298"/>
      <c r="AA298"/>
      <c r="AB298"/>
      <c r="AC298"/>
      <c r="AD298"/>
    </row>
    <row r="299" spans="13:30" x14ac:dyDescent="0.2">
      <c r="M299" s="2"/>
      <c r="N299" s="2"/>
      <c r="O299" s="2"/>
      <c r="Y299"/>
      <c r="Z299"/>
      <c r="AA299"/>
      <c r="AB299"/>
      <c r="AC299"/>
      <c r="AD299"/>
    </row>
    <row r="300" spans="13:30" x14ac:dyDescent="0.2">
      <c r="M300" s="2"/>
      <c r="N300" s="2"/>
      <c r="O300" s="2"/>
      <c r="Y300"/>
      <c r="Z300"/>
      <c r="AA300"/>
      <c r="AB300"/>
      <c r="AC300"/>
      <c r="AD300"/>
    </row>
    <row r="301" spans="13:30" x14ac:dyDescent="0.2">
      <c r="M301" s="2"/>
      <c r="N301" s="2"/>
      <c r="O301" s="2"/>
      <c r="Y301"/>
      <c r="Z301"/>
      <c r="AA301"/>
      <c r="AB301"/>
      <c r="AC301"/>
      <c r="AD301"/>
    </row>
    <row r="302" spans="13:30" x14ac:dyDescent="0.2">
      <c r="M302" s="2"/>
      <c r="N302" s="2"/>
      <c r="O302" s="2"/>
      <c r="Y302"/>
      <c r="Z302"/>
      <c r="AA302"/>
      <c r="AB302"/>
      <c r="AC302"/>
      <c r="AD302"/>
    </row>
    <row r="303" spans="13:30" x14ac:dyDescent="0.2">
      <c r="M303" s="2"/>
      <c r="N303" s="2"/>
      <c r="O303" s="2"/>
      <c r="Y303"/>
      <c r="Z303"/>
      <c r="AA303"/>
      <c r="AB303"/>
      <c r="AC303"/>
      <c r="AD303"/>
    </row>
    <row r="304" spans="13:30" x14ac:dyDescent="0.2">
      <c r="M304" s="2"/>
      <c r="N304" s="2"/>
      <c r="O304" s="2"/>
      <c r="Y304"/>
      <c r="Z304"/>
      <c r="AA304"/>
      <c r="AB304"/>
      <c r="AC304"/>
      <c r="AD304"/>
    </row>
    <row r="305" spans="13:30" x14ac:dyDescent="0.2">
      <c r="M305" s="2"/>
      <c r="N305" s="2"/>
      <c r="O305" s="2"/>
      <c r="Y305"/>
      <c r="Z305"/>
      <c r="AA305"/>
      <c r="AB305"/>
      <c r="AC305"/>
      <c r="AD305"/>
    </row>
    <row r="306" spans="13:30" x14ac:dyDescent="0.2">
      <c r="M306" s="2"/>
      <c r="N306" s="2"/>
      <c r="O306" s="2"/>
      <c r="Y306"/>
      <c r="Z306"/>
      <c r="AA306"/>
      <c r="AB306"/>
      <c r="AC306"/>
      <c r="AD306"/>
    </row>
    <row r="307" spans="13:30" x14ac:dyDescent="0.2">
      <c r="M307" s="2"/>
      <c r="N307" s="2"/>
      <c r="O307" s="2"/>
      <c r="Y307"/>
      <c r="Z307"/>
      <c r="AA307"/>
      <c r="AB307"/>
      <c r="AC307"/>
      <c r="AD307"/>
    </row>
    <row r="308" spans="13:30" x14ac:dyDescent="0.2">
      <c r="M308" s="2"/>
      <c r="N308" s="2"/>
      <c r="O308" s="2"/>
      <c r="Y308"/>
      <c r="Z308"/>
      <c r="AA308"/>
      <c r="AB308"/>
      <c r="AC308"/>
      <c r="AD308"/>
    </row>
    <row r="309" spans="13:30" x14ac:dyDescent="0.2">
      <c r="M309" s="2"/>
      <c r="N309" s="2"/>
      <c r="O309" s="2"/>
      <c r="Y309"/>
      <c r="Z309"/>
      <c r="AA309"/>
      <c r="AB309"/>
      <c r="AC309"/>
      <c r="AD309"/>
    </row>
    <row r="310" spans="13:30" x14ac:dyDescent="0.2">
      <c r="M310" s="2"/>
      <c r="N310" s="2"/>
      <c r="O310" s="2"/>
      <c r="Y310"/>
      <c r="Z310"/>
      <c r="AA310"/>
      <c r="AB310"/>
      <c r="AC310"/>
      <c r="AD310"/>
    </row>
    <row r="311" spans="13:30" x14ac:dyDescent="0.2">
      <c r="M311" s="2"/>
      <c r="N311" s="2"/>
      <c r="O311" s="2"/>
      <c r="Y311"/>
      <c r="Z311"/>
      <c r="AA311"/>
      <c r="AB311"/>
      <c r="AC311"/>
      <c r="AD311"/>
    </row>
    <row r="312" spans="13:30" x14ac:dyDescent="0.2">
      <c r="M312" s="2"/>
      <c r="N312" s="2"/>
      <c r="O312" s="2"/>
      <c r="Y312"/>
      <c r="Z312"/>
      <c r="AA312"/>
      <c r="AB312"/>
      <c r="AC312"/>
      <c r="AD312"/>
    </row>
    <row r="313" spans="13:30" x14ac:dyDescent="0.2">
      <c r="M313" s="2"/>
      <c r="N313" s="2"/>
      <c r="O313" s="2"/>
      <c r="Y313"/>
      <c r="Z313"/>
      <c r="AA313"/>
      <c r="AB313"/>
      <c r="AC313"/>
      <c r="AD313"/>
    </row>
    <row r="314" spans="13:30" x14ac:dyDescent="0.2">
      <c r="M314" s="2"/>
      <c r="N314" s="2"/>
      <c r="O314" s="2"/>
      <c r="Y314"/>
      <c r="Z314"/>
      <c r="AA314"/>
      <c r="AB314"/>
      <c r="AC314"/>
      <c r="AD314"/>
    </row>
    <row r="315" spans="13:30" x14ac:dyDescent="0.2">
      <c r="M315" s="2"/>
      <c r="N315" s="2"/>
      <c r="O315" s="2"/>
      <c r="Y315"/>
      <c r="Z315"/>
      <c r="AA315"/>
      <c r="AB315"/>
      <c r="AC315"/>
      <c r="AD315"/>
    </row>
    <row r="316" spans="13:30" x14ac:dyDescent="0.2">
      <c r="M316" s="2"/>
      <c r="N316" s="2"/>
      <c r="O316" s="2"/>
      <c r="Y316"/>
      <c r="Z316"/>
      <c r="AA316"/>
      <c r="AB316"/>
      <c r="AC316"/>
      <c r="AD316"/>
    </row>
    <row r="317" spans="13:30" x14ac:dyDescent="0.2">
      <c r="M317" s="2"/>
      <c r="N317" s="2"/>
      <c r="O317" s="2"/>
      <c r="Y317"/>
      <c r="Z317"/>
      <c r="AA317"/>
      <c r="AB317"/>
      <c r="AC317"/>
      <c r="AD317"/>
    </row>
    <row r="318" spans="13:30" x14ac:dyDescent="0.2">
      <c r="M318" s="2"/>
      <c r="N318" s="2"/>
      <c r="O318" s="2"/>
      <c r="Y318"/>
      <c r="Z318"/>
      <c r="AA318"/>
      <c r="AB318"/>
      <c r="AC318"/>
      <c r="AD318"/>
    </row>
    <row r="319" spans="13:30" x14ac:dyDescent="0.2">
      <c r="M319" s="2"/>
      <c r="N319" s="2"/>
      <c r="O319" s="2"/>
      <c r="Y319"/>
      <c r="Z319"/>
      <c r="AA319"/>
      <c r="AB319"/>
      <c r="AC319"/>
      <c r="AD319"/>
    </row>
    <row r="320" spans="13:30" x14ac:dyDescent="0.2">
      <c r="M320" s="2"/>
      <c r="N320" s="2"/>
      <c r="O320" s="2"/>
      <c r="Y320"/>
      <c r="Z320"/>
      <c r="AA320"/>
      <c r="AB320"/>
      <c r="AC320"/>
      <c r="AD320"/>
    </row>
    <row r="321" spans="13:30" x14ac:dyDescent="0.2">
      <c r="M321" s="2"/>
      <c r="N321" s="2"/>
      <c r="O321" s="2"/>
      <c r="Y321"/>
      <c r="Z321"/>
      <c r="AA321"/>
      <c r="AB321"/>
      <c r="AC321"/>
      <c r="AD321"/>
    </row>
    <row r="322" spans="13:30" x14ac:dyDescent="0.2">
      <c r="M322" s="2"/>
      <c r="N322" s="2"/>
      <c r="O322" s="2"/>
      <c r="Y322"/>
      <c r="Z322"/>
      <c r="AA322"/>
      <c r="AB322"/>
      <c r="AC322"/>
      <c r="AD322"/>
    </row>
    <row r="323" spans="13:30" x14ac:dyDescent="0.2">
      <c r="M323" s="2"/>
      <c r="N323" s="2"/>
      <c r="O323" s="2"/>
      <c r="Y323"/>
      <c r="Z323"/>
      <c r="AA323"/>
      <c r="AB323"/>
      <c r="AC323"/>
      <c r="AD323"/>
    </row>
    <row r="324" spans="13:30" x14ac:dyDescent="0.2">
      <c r="M324" s="2"/>
      <c r="N324" s="2"/>
      <c r="O324" s="2"/>
      <c r="Y324"/>
      <c r="Z324"/>
      <c r="AA324"/>
      <c r="AB324"/>
      <c r="AC324"/>
      <c r="AD324"/>
    </row>
    <row r="325" spans="13:30" x14ac:dyDescent="0.2">
      <c r="M325" s="2"/>
      <c r="N325" s="2"/>
      <c r="O325" s="2"/>
      <c r="Y325"/>
      <c r="Z325"/>
      <c r="AA325"/>
      <c r="AB325"/>
      <c r="AC325"/>
      <c r="AD325"/>
    </row>
    <row r="326" spans="13:30" x14ac:dyDescent="0.2">
      <c r="M326" s="2"/>
      <c r="N326" s="2"/>
      <c r="O326" s="2"/>
      <c r="Y326"/>
      <c r="Z326"/>
      <c r="AA326"/>
      <c r="AB326"/>
      <c r="AC326"/>
      <c r="AD326"/>
    </row>
    <row r="327" spans="13:30" x14ac:dyDescent="0.2">
      <c r="M327" s="2"/>
      <c r="N327" s="2"/>
      <c r="O327" s="2"/>
      <c r="Y327"/>
      <c r="Z327"/>
      <c r="AA327"/>
      <c r="AB327"/>
      <c r="AC327"/>
      <c r="AD327"/>
    </row>
    <row r="328" spans="13:30" x14ac:dyDescent="0.2">
      <c r="M328" s="2"/>
      <c r="N328" s="2"/>
      <c r="O328" s="2"/>
      <c r="Y328"/>
      <c r="Z328"/>
      <c r="AA328"/>
      <c r="AB328"/>
      <c r="AC328"/>
      <c r="AD328"/>
    </row>
    <row r="329" spans="13:30" x14ac:dyDescent="0.2">
      <c r="M329" s="2"/>
      <c r="N329" s="2"/>
      <c r="O329" s="2"/>
      <c r="Y329"/>
      <c r="Z329"/>
      <c r="AA329"/>
      <c r="AB329"/>
      <c r="AC329"/>
      <c r="AD329"/>
    </row>
    <row r="330" spans="13:30" x14ac:dyDescent="0.2">
      <c r="M330" s="2"/>
      <c r="N330" s="2"/>
      <c r="O330" s="2"/>
      <c r="Y330"/>
      <c r="Z330"/>
      <c r="AA330"/>
      <c r="AB330"/>
      <c r="AC330"/>
      <c r="AD330"/>
    </row>
    <row r="331" spans="13:30" x14ac:dyDescent="0.2">
      <c r="M331" s="2"/>
      <c r="N331" s="2"/>
      <c r="O331" s="2"/>
      <c r="Y331"/>
      <c r="Z331"/>
      <c r="AA331"/>
      <c r="AB331"/>
      <c r="AC331"/>
      <c r="AD331"/>
    </row>
    <row r="332" spans="13:30" x14ac:dyDescent="0.2">
      <c r="M332" s="2"/>
      <c r="N332" s="2"/>
      <c r="O332" s="2"/>
      <c r="Y332"/>
      <c r="Z332"/>
      <c r="AA332"/>
      <c r="AB332"/>
      <c r="AC332"/>
      <c r="AD332"/>
    </row>
    <row r="333" spans="13:30" x14ac:dyDescent="0.2">
      <c r="M333" s="2"/>
      <c r="N333" s="2"/>
      <c r="O333" s="2"/>
      <c r="Y333"/>
      <c r="Z333"/>
      <c r="AA333"/>
      <c r="AB333"/>
      <c r="AC333"/>
      <c r="AD333"/>
    </row>
    <row r="334" spans="13:30" x14ac:dyDescent="0.2">
      <c r="M334" s="2"/>
      <c r="N334" s="2"/>
      <c r="O334" s="2"/>
      <c r="Y334"/>
      <c r="Z334"/>
      <c r="AA334"/>
      <c r="AB334"/>
      <c r="AC334"/>
      <c r="AD334"/>
    </row>
    <row r="335" spans="13:30" x14ac:dyDescent="0.2">
      <c r="M335" s="2"/>
      <c r="N335" s="2"/>
      <c r="O335" s="2"/>
      <c r="Y335"/>
      <c r="Z335"/>
      <c r="AA335"/>
      <c r="AB335"/>
      <c r="AC335"/>
      <c r="AD335"/>
    </row>
    <row r="336" spans="13:30" x14ac:dyDescent="0.2">
      <c r="M336" s="2"/>
      <c r="N336" s="2"/>
      <c r="O336" s="2"/>
      <c r="Y336"/>
      <c r="Z336"/>
      <c r="AA336"/>
      <c r="AB336"/>
      <c r="AC336"/>
      <c r="AD336"/>
    </row>
    <row r="337" spans="13:30" x14ac:dyDescent="0.2">
      <c r="M337" s="2"/>
      <c r="N337" s="2"/>
      <c r="O337" s="2"/>
      <c r="Y337"/>
      <c r="Z337"/>
      <c r="AA337"/>
      <c r="AB337"/>
      <c r="AC337"/>
      <c r="AD337"/>
    </row>
    <row r="338" spans="13:30" x14ac:dyDescent="0.2">
      <c r="M338" s="2"/>
      <c r="N338" s="2"/>
      <c r="O338" s="2"/>
      <c r="Y338"/>
      <c r="Z338"/>
      <c r="AA338"/>
      <c r="AB338"/>
      <c r="AC338"/>
      <c r="AD338"/>
    </row>
    <row r="339" spans="13:30" x14ac:dyDescent="0.2">
      <c r="M339" s="2"/>
      <c r="N339" s="2"/>
      <c r="O339" s="2"/>
      <c r="Y339"/>
      <c r="Z339"/>
      <c r="AA339"/>
      <c r="AB339"/>
      <c r="AC339"/>
      <c r="AD339"/>
    </row>
    <row r="340" spans="13:30" x14ac:dyDescent="0.2">
      <c r="M340" s="2"/>
      <c r="N340" s="2"/>
      <c r="O340" s="2"/>
      <c r="Y340"/>
      <c r="Z340"/>
      <c r="AA340"/>
      <c r="AB340"/>
      <c r="AC340"/>
      <c r="AD340"/>
    </row>
    <row r="341" spans="13:30" x14ac:dyDescent="0.2">
      <c r="M341" s="2"/>
      <c r="N341" s="2"/>
      <c r="O341" s="2"/>
      <c r="Y341"/>
      <c r="Z341"/>
      <c r="AA341"/>
      <c r="AB341"/>
      <c r="AC341"/>
      <c r="AD341"/>
    </row>
    <row r="342" spans="13:30" x14ac:dyDescent="0.2">
      <c r="M342" s="2"/>
      <c r="N342" s="2"/>
      <c r="O342" s="2"/>
      <c r="Y342"/>
      <c r="Z342"/>
      <c r="AA342"/>
      <c r="AB342"/>
      <c r="AC342"/>
      <c r="AD342"/>
    </row>
    <row r="343" spans="13:30" x14ac:dyDescent="0.2">
      <c r="M343" s="2"/>
      <c r="N343" s="2"/>
      <c r="O343" s="2"/>
      <c r="Y343"/>
      <c r="Z343"/>
      <c r="AA343"/>
      <c r="AB343"/>
      <c r="AC343"/>
      <c r="AD343"/>
    </row>
    <row r="344" spans="13:30" x14ac:dyDescent="0.2">
      <c r="M344" s="2"/>
      <c r="N344" s="2"/>
      <c r="O344" s="2"/>
      <c r="Y344"/>
      <c r="Z344"/>
      <c r="AA344"/>
      <c r="AB344"/>
      <c r="AC344"/>
      <c r="AD344"/>
    </row>
    <row r="345" spans="13:30" x14ac:dyDescent="0.2">
      <c r="M345" s="2"/>
      <c r="N345" s="2"/>
      <c r="O345" s="2"/>
      <c r="Y345"/>
      <c r="Z345"/>
      <c r="AA345"/>
      <c r="AB345"/>
      <c r="AC345"/>
      <c r="AD345"/>
    </row>
    <row r="346" spans="13:30" x14ac:dyDescent="0.2">
      <c r="M346" s="2"/>
      <c r="N346" s="2"/>
      <c r="O346" s="2"/>
      <c r="Y346"/>
      <c r="Z346"/>
      <c r="AA346"/>
      <c r="AB346"/>
      <c r="AC346"/>
      <c r="AD346"/>
    </row>
    <row r="347" spans="13:30" x14ac:dyDescent="0.2">
      <c r="M347" s="2"/>
      <c r="N347" s="2"/>
      <c r="O347" s="2"/>
      <c r="Y347"/>
      <c r="Z347"/>
      <c r="AA347"/>
      <c r="AB347"/>
      <c r="AC347"/>
      <c r="AD347"/>
    </row>
    <row r="348" spans="13:30" x14ac:dyDescent="0.2">
      <c r="M348" s="2"/>
      <c r="N348" s="2"/>
      <c r="O348" s="2"/>
      <c r="Y348"/>
      <c r="Z348"/>
      <c r="AA348"/>
      <c r="AB348"/>
      <c r="AC348"/>
      <c r="AD348"/>
    </row>
    <row r="349" spans="13:30" x14ac:dyDescent="0.2">
      <c r="M349" s="2"/>
      <c r="N349" s="2"/>
      <c r="O349" s="2"/>
      <c r="Y349"/>
      <c r="Z349"/>
      <c r="AA349"/>
      <c r="AB349"/>
      <c r="AC349"/>
      <c r="AD349"/>
    </row>
    <row r="350" spans="13:30" x14ac:dyDescent="0.2">
      <c r="M350" s="2"/>
      <c r="N350" s="2"/>
      <c r="O350" s="2"/>
      <c r="Y350"/>
      <c r="Z350"/>
      <c r="AA350"/>
      <c r="AB350"/>
      <c r="AC350"/>
      <c r="AD350"/>
    </row>
    <row r="351" spans="13:30" x14ac:dyDescent="0.2">
      <c r="M351" s="2"/>
      <c r="N351" s="2"/>
      <c r="O351" s="2"/>
      <c r="Y351"/>
      <c r="Z351"/>
      <c r="AA351"/>
      <c r="AB351"/>
      <c r="AC351"/>
      <c r="AD351"/>
    </row>
    <row r="352" spans="13:30" x14ac:dyDescent="0.2">
      <c r="M352" s="2"/>
      <c r="N352" s="2"/>
      <c r="O352" s="2"/>
      <c r="Y352"/>
      <c r="Z352"/>
      <c r="AA352"/>
      <c r="AB352"/>
      <c r="AC352"/>
      <c r="AD352"/>
    </row>
    <row r="353" spans="13:30" x14ac:dyDescent="0.2">
      <c r="M353" s="2"/>
      <c r="N353" s="2"/>
      <c r="O353" s="2"/>
      <c r="Y353"/>
      <c r="Z353"/>
      <c r="AA353"/>
      <c r="AB353"/>
      <c r="AC353"/>
      <c r="AD353"/>
    </row>
    <row r="354" spans="13:30" x14ac:dyDescent="0.2">
      <c r="M354" s="2"/>
      <c r="N354" s="2"/>
      <c r="O354" s="2"/>
      <c r="Y354"/>
      <c r="Z354"/>
      <c r="AA354"/>
      <c r="AB354"/>
      <c r="AC354"/>
      <c r="AD354"/>
    </row>
    <row r="355" spans="13:30" x14ac:dyDescent="0.2">
      <c r="M355" s="2"/>
      <c r="N355" s="2"/>
      <c r="O355" s="2"/>
      <c r="Y355"/>
      <c r="Z355"/>
      <c r="AA355"/>
      <c r="AB355"/>
      <c r="AC355"/>
      <c r="AD355"/>
    </row>
    <row r="356" spans="13:30" x14ac:dyDescent="0.2">
      <c r="M356" s="2"/>
      <c r="N356" s="2"/>
      <c r="O356" s="2"/>
      <c r="Y356"/>
      <c r="Z356"/>
      <c r="AA356"/>
      <c r="AB356"/>
      <c r="AC356"/>
      <c r="AD356"/>
    </row>
    <row r="357" spans="13:30" x14ac:dyDescent="0.2">
      <c r="M357" s="2"/>
      <c r="N357" s="2"/>
      <c r="O357" s="2"/>
      <c r="Y357"/>
      <c r="Z357"/>
      <c r="AA357"/>
      <c r="AB357"/>
      <c r="AC357"/>
      <c r="AD357"/>
    </row>
    <row r="358" spans="13:30" x14ac:dyDescent="0.2">
      <c r="M358" s="2"/>
      <c r="N358" s="2"/>
      <c r="O358" s="2"/>
      <c r="Y358"/>
      <c r="Z358"/>
      <c r="AA358"/>
      <c r="AB358"/>
      <c r="AC358"/>
      <c r="AD358"/>
    </row>
    <row r="359" spans="13:30" x14ac:dyDescent="0.2">
      <c r="M359" s="2"/>
      <c r="N359" s="2"/>
      <c r="O359" s="2"/>
      <c r="Y359"/>
      <c r="Z359"/>
      <c r="AA359"/>
      <c r="AB359"/>
      <c r="AC359"/>
      <c r="AD359"/>
    </row>
    <row r="360" spans="13:30" x14ac:dyDescent="0.2">
      <c r="M360" s="2"/>
      <c r="N360" s="2"/>
      <c r="O360" s="2"/>
      <c r="Y360"/>
      <c r="Z360"/>
      <c r="AA360"/>
      <c r="AB360"/>
      <c r="AC360"/>
      <c r="AD360"/>
    </row>
    <row r="361" spans="13:30" x14ac:dyDescent="0.2">
      <c r="M361" s="2"/>
      <c r="N361" s="2"/>
      <c r="O361" s="2"/>
      <c r="Y361"/>
      <c r="Z361"/>
      <c r="AA361"/>
      <c r="AB361"/>
      <c r="AC361"/>
      <c r="AD361"/>
    </row>
    <row r="362" spans="13:30" x14ac:dyDescent="0.2">
      <c r="M362" s="2"/>
      <c r="N362" s="2"/>
      <c r="O362" s="2"/>
      <c r="Y362"/>
      <c r="Z362"/>
      <c r="AA362"/>
      <c r="AB362"/>
      <c r="AC362"/>
      <c r="AD362"/>
    </row>
    <row r="363" spans="13:30" x14ac:dyDescent="0.2">
      <c r="M363" s="2"/>
      <c r="N363" s="2"/>
      <c r="O363" s="2"/>
      <c r="Y363"/>
      <c r="Z363"/>
      <c r="AA363"/>
      <c r="AB363"/>
      <c r="AC363"/>
      <c r="AD363"/>
    </row>
    <row r="364" spans="13:30" x14ac:dyDescent="0.2">
      <c r="M364" s="2"/>
      <c r="N364" s="2"/>
      <c r="O364" s="2"/>
      <c r="Y364"/>
      <c r="Z364"/>
      <c r="AA364"/>
      <c r="AB364"/>
      <c r="AC364"/>
      <c r="AD364"/>
    </row>
    <row r="365" spans="13:30" x14ac:dyDescent="0.2">
      <c r="M365" s="2"/>
      <c r="N365" s="2"/>
      <c r="O365" s="2"/>
      <c r="Y365"/>
      <c r="Z365"/>
      <c r="AA365"/>
      <c r="AB365"/>
      <c r="AC365"/>
      <c r="AD365"/>
    </row>
    <row r="366" spans="13:30" x14ac:dyDescent="0.2">
      <c r="M366" s="2"/>
      <c r="N366" s="2"/>
      <c r="O366" s="2"/>
      <c r="Y366"/>
      <c r="Z366"/>
      <c r="AA366"/>
      <c r="AB366"/>
      <c r="AC366"/>
      <c r="AD366"/>
    </row>
    <row r="367" spans="13:30" x14ac:dyDescent="0.2">
      <c r="M367" s="2"/>
      <c r="N367" s="2"/>
      <c r="O367" s="2"/>
      <c r="Y367"/>
      <c r="Z367"/>
      <c r="AA367"/>
      <c r="AB367"/>
      <c r="AC367"/>
      <c r="AD367"/>
    </row>
    <row r="368" spans="13:30" x14ac:dyDescent="0.2">
      <c r="M368" s="2"/>
      <c r="N368" s="2"/>
      <c r="O368" s="2"/>
      <c r="Y368"/>
      <c r="Z368"/>
      <c r="AA368"/>
      <c r="AB368"/>
      <c r="AC368"/>
      <c r="AD368"/>
    </row>
    <row r="369" spans="13:30" x14ac:dyDescent="0.2">
      <c r="M369" s="2"/>
      <c r="N369" s="2"/>
      <c r="O369" s="2"/>
      <c r="Y369"/>
      <c r="Z369"/>
      <c r="AA369"/>
      <c r="AB369"/>
      <c r="AC369"/>
      <c r="AD369"/>
    </row>
    <row r="370" spans="13:30" x14ac:dyDescent="0.2">
      <c r="M370" s="2"/>
      <c r="N370" s="2"/>
      <c r="O370" s="2"/>
      <c r="Y370"/>
      <c r="Z370"/>
      <c r="AA370"/>
      <c r="AB370"/>
      <c r="AC370"/>
      <c r="AD370"/>
    </row>
    <row r="371" spans="13:30" x14ac:dyDescent="0.2">
      <c r="M371" s="2"/>
      <c r="N371" s="2"/>
      <c r="O371" s="2"/>
      <c r="Y371"/>
      <c r="Z371"/>
      <c r="AA371"/>
      <c r="AB371"/>
      <c r="AC371"/>
      <c r="AD371"/>
    </row>
    <row r="372" spans="13:30" x14ac:dyDescent="0.2">
      <c r="M372" s="2"/>
      <c r="N372" s="2"/>
      <c r="O372" s="2"/>
      <c r="Y372"/>
      <c r="Z372"/>
      <c r="AA372"/>
      <c r="AB372"/>
      <c r="AC372"/>
      <c r="AD372"/>
    </row>
    <row r="373" spans="13:30" x14ac:dyDescent="0.2">
      <c r="M373" s="2"/>
      <c r="N373" s="2"/>
      <c r="O373" s="2"/>
      <c r="Y373"/>
      <c r="Z373"/>
      <c r="AA373"/>
      <c r="AB373"/>
      <c r="AC373"/>
      <c r="AD373"/>
    </row>
    <row r="374" spans="13:30" x14ac:dyDescent="0.2">
      <c r="M374" s="2"/>
      <c r="N374" s="2"/>
      <c r="O374" s="2"/>
      <c r="Y374"/>
      <c r="Z374"/>
      <c r="AA374"/>
      <c r="AB374"/>
      <c r="AC374"/>
      <c r="AD374"/>
    </row>
    <row r="375" spans="13:30" x14ac:dyDescent="0.2">
      <c r="M375" s="2"/>
      <c r="N375" s="2"/>
      <c r="O375" s="2"/>
      <c r="Y375"/>
      <c r="Z375"/>
      <c r="AA375"/>
      <c r="AB375"/>
      <c r="AC375"/>
      <c r="AD375"/>
    </row>
    <row r="376" spans="13:30" x14ac:dyDescent="0.2">
      <c r="M376" s="2"/>
      <c r="N376" s="2"/>
      <c r="O376" s="2"/>
      <c r="Y376"/>
      <c r="Z376"/>
      <c r="AA376"/>
      <c r="AB376"/>
      <c r="AC376"/>
      <c r="AD376"/>
    </row>
    <row r="377" spans="13:30" x14ac:dyDescent="0.2">
      <c r="M377" s="2"/>
      <c r="N377" s="2"/>
      <c r="O377" s="2"/>
      <c r="Y377"/>
      <c r="Z377"/>
      <c r="AA377"/>
      <c r="AB377"/>
      <c r="AC377"/>
      <c r="AD377"/>
    </row>
    <row r="378" spans="13:30" x14ac:dyDescent="0.2">
      <c r="M378" s="2"/>
      <c r="N378" s="2"/>
      <c r="O378" s="2"/>
      <c r="Y378"/>
      <c r="Z378"/>
      <c r="AA378"/>
      <c r="AB378"/>
      <c r="AC378"/>
      <c r="AD378"/>
    </row>
    <row r="379" spans="13:30" x14ac:dyDescent="0.2">
      <c r="M379" s="2"/>
      <c r="N379" s="2"/>
      <c r="O379" s="2"/>
      <c r="Y379"/>
      <c r="Z379"/>
      <c r="AA379"/>
      <c r="AB379"/>
      <c r="AC379"/>
      <c r="AD379"/>
    </row>
    <row r="380" spans="13:30" x14ac:dyDescent="0.2">
      <c r="M380" s="2"/>
      <c r="N380" s="2"/>
      <c r="O380" s="2"/>
      <c r="Y380"/>
      <c r="Z380"/>
      <c r="AA380"/>
      <c r="AB380"/>
      <c r="AC380"/>
      <c r="AD380"/>
    </row>
    <row r="381" spans="13:30" x14ac:dyDescent="0.2">
      <c r="M381" s="2"/>
      <c r="N381" s="2"/>
      <c r="O381" s="2"/>
      <c r="Y381"/>
      <c r="Z381"/>
      <c r="AA381"/>
      <c r="AB381"/>
      <c r="AC381"/>
      <c r="AD381"/>
    </row>
    <row r="382" spans="13:30" x14ac:dyDescent="0.2">
      <c r="M382" s="2"/>
      <c r="N382" s="2"/>
      <c r="O382" s="2"/>
      <c r="Y382"/>
      <c r="Z382"/>
      <c r="AA382"/>
      <c r="AB382"/>
      <c r="AC382"/>
      <c r="AD382"/>
    </row>
    <row r="383" spans="13:30" x14ac:dyDescent="0.2">
      <c r="M383" s="2"/>
      <c r="N383" s="2"/>
      <c r="O383" s="2"/>
      <c r="Y383"/>
      <c r="Z383"/>
      <c r="AA383"/>
      <c r="AB383"/>
      <c r="AC383"/>
      <c r="AD383"/>
    </row>
    <row r="384" spans="13:30" x14ac:dyDescent="0.2">
      <c r="M384" s="2"/>
      <c r="N384" s="2"/>
      <c r="O384" s="2"/>
      <c r="Y384"/>
      <c r="Z384"/>
      <c r="AA384"/>
      <c r="AB384"/>
      <c r="AC384"/>
      <c r="AD384"/>
    </row>
    <row r="385" spans="13:30" x14ac:dyDescent="0.2">
      <c r="M385" s="2"/>
      <c r="N385" s="2"/>
      <c r="O385" s="2"/>
      <c r="Y385"/>
      <c r="Z385"/>
      <c r="AA385"/>
      <c r="AB385"/>
      <c r="AC385"/>
      <c r="AD385"/>
    </row>
    <row r="386" spans="13:30" x14ac:dyDescent="0.2">
      <c r="M386" s="2"/>
      <c r="N386" s="2"/>
      <c r="O386" s="2"/>
      <c r="Y386"/>
      <c r="Z386"/>
      <c r="AA386"/>
      <c r="AB386"/>
      <c r="AC386"/>
      <c r="AD386"/>
    </row>
    <row r="387" spans="13:30" x14ac:dyDescent="0.2">
      <c r="M387" s="2"/>
      <c r="N387" s="2"/>
      <c r="O387" s="2"/>
      <c r="Y387"/>
      <c r="Z387"/>
      <c r="AA387"/>
      <c r="AB387"/>
      <c r="AC387"/>
      <c r="AD387"/>
    </row>
    <row r="388" spans="13:30" x14ac:dyDescent="0.2">
      <c r="M388" s="2"/>
      <c r="N388" s="2"/>
      <c r="O388" s="2"/>
      <c r="Y388"/>
      <c r="Z388"/>
      <c r="AA388"/>
      <c r="AB388"/>
      <c r="AC388"/>
      <c r="AD388"/>
    </row>
    <row r="389" spans="13:30" x14ac:dyDescent="0.2">
      <c r="M389" s="2"/>
      <c r="N389" s="2"/>
      <c r="O389" s="2"/>
      <c r="Y389"/>
      <c r="Z389"/>
      <c r="AA389"/>
      <c r="AB389"/>
      <c r="AC389"/>
      <c r="AD389"/>
    </row>
    <row r="390" spans="13:30" x14ac:dyDescent="0.2">
      <c r="M390" s="2"/>
      <c r="N390" s="2"/>
      <c r="O390" s="2"/>
      <c r="Y390"/>
      <c r="Z390"/>
      <c r="AA390"/>
      <c r="AB390"/>
      <c r="AC390"/>
      <c r="AD390"/>
    </row>
    <row r="391" spans="13:30" x14ac:dyDescent="0.2">
      <c r="M391" s="2"/>
      <c r="N391" s="2"/>
      <c r="O391" s="2"/>
      <c r="Y391"/>
      <c r="Z391"/>
      <c r="AA391"/>
      <c r="AB391"/>
      <c r="AC391"/>
      <c r="AD391"/>
    </row>
    <row r="392" spans="13:30" x14ac:dyDescent="0.2">
      <c r="M392" s="2"/>
      <c r="N392" s="2"/>
      <c r="O392" s="2"/>
      <c r="Y392"/>
      <c r="Z392"/>
      <c r="AA392"/>
      <c r="AB392"/>
      <c r="AC392"/>
      <c r="AD392"/>
    </row>
    <row r="393" spans="13:30" x14ac:dyDescent="0.2">
      <c r="M393" s="2"/>
      <c r="N393" s="2"/>
      <c r="O393" s="2"/>
      <c r="Y393"/>
      <c r="Z393"/>
      <c r="AA393"/>
      <c r="AB393"/>
      <c r="AC393"/>
      <c r="AD393"/>
    </row>
    <row r="394" spans="13:30" x14ac:dyDescent="0.2">
      <c r="M394" s="2"/>
      <c r="N394" s="2"/>
      <c r="O394" s="2"/>
      <c r="Y394"/>
      <c r="Z394"/>
      <c r="AA394"/>
      <c r="AB394"/>
      <c r="AC394"/>
      <c r="AD394"/>
    </row>
    <row r="395" spans="13:30" x14ac:dyDescent="0.2">
      <c r="M395" s="2"/>
      <c r="N395" s="2"/>
      <c r="O395" s="2"/>
      <c r="Y395"/>
      <c r="Z395"/>
      <c r="AA395"/>
      <c r="AB395"/>
      <c r="AC395"/>
      <c r="AD395"/>
    </row>
    <row r="396" spans="13:30" x14ac:dyDescent="0.2">
      <c r="M396" s="2"/>
      <c r="N396" s="2"/>
      <c r="O396" s="2"/>
      <c r="Y396"/>
      <c r="Z396"/>
      <c r="AA396"/>
      <c r="AB396"/>
      <c r="AC396"/>
      <c r="AD396"/>
    </row>
    <row r="397" spans="13:30" x14ac:dyDescent="0.2">
      <c r="M397" s="2"/>
      <c r="N397" s="2"/>
      <c r="O397" s="2"/>
      <c r="Y397"/>
      <c r="Z397"/>
      <c r="AA397"/>
      <c r="AB397"/>
      <c r="AC397"/>
      <c r="AD397"/>
    </row>
    <row r="398" spans="13:30" x14ac:dyDescent="0.2">
      <c r="M398" s="2"/>
      <c r="N398" s="2"/>
      <c r="O398" s="2"/>
      <c r="Y398"/>
      <c r="Z398"/>
      <c r="AA398"/>
      <c r="AB398"/>
      <c r="AC398"/>
      <c r="AD398"/>
    </row>
    <row r="399" spans="13:30" x14ac:dyDescent="0.2">
      <c r="M399" s="2"/>
      <c r="N399" s="2"/>
      <c r="O399" s="2"/>
      <c r="Y399"/>
      <c r="Z399"/>
      <c r="AA399"/>
      <c r="AB399"/>
      <c r="AC399"/>
      <c r="AD399"/>
    </row>
    <row r="400" spans="13:30" x14ac:dyDescent="0.2">
      <c r="M400" s="2"/>
      <c r="N400" s="2"/>
      <c r="O400" s="2"/>
      <c r="Y400"/>
      <c r="Z400"/>
      <c r="AA400"/>
      <c r="AB400"/>
      <c r="AC400"/>
      <c r="AD400"/>
    </row>
    <row r="401" spans="13:30" x14ac:dyDescent="0.2">
      <c r="M401" s="2"/>
      <c r="N401" s="2"/>
      <c r="O401" s="2"/>
      <c r="Y401"/>
      <c r="Z401"/>
      <c r="AA401"/>
      <c r="AB401"/>
      <c r="AC401"/>
      <c r="AD401"/>
    </row>
    <row r="402" spans="13:30" x14ac:dyDescent="0.2">
      <c r="M402" s="2"/>
      <c r="N402" s="2"/>
      <c r="O402" s="2"/>
      <c r="Y402"/>
      <c r="Z402"/>
      <c r="AA402"/>
      <c r="AB402"/>
      <c r="AC402"/>
      <c r="AD402"/>
    </row>
    <row r="403" spans="13:30" x14ac:dyDescent="0.2">
      <c r="M403" s="2"/>
      <c r="N403" s="2"/>
      <c r="O403" s="2"/>
      <c r="Y403"/>
      <c r="Z403"/>
      <c r="AA403"/>
      <c r="AB403"/>
      <c r="AC403"/>
      <c r="AD403"/>
    </row>
    <row r="404" spans="13:30" x14ac:dyDescent="0.2">
      <c r="M404" s="2"/>
      <c r="N404" s="2"/>
      <c r="O404" s="2"/>
      <c r="Y404"/>
      <c r="Z404"/>
      <c r="AA404"/>
      <c r="AB404"/>
      <c r="AC404"/>
      <c r="AD404"/>
    </row>
    <row r="405" spans="13:30" x14ac:dyDescent="0.2">
      <c r="M405" s="2"/>
      <c r="N405" s="2"/>
      <c r="O405" s="2"/>
      <c r="Y405"/>
      <c r="Z405"/>
      <c r="AA405"/>
      <c r="AB405"/>
      <c r="AC405"/>
      <c r="AD405"/>
    </row>
    <row r="406" spans="13:30" x14ac:dyDescent="0.2">
      <c r="M406" s="2"/>
      <c r="N406" s="2"/>
      <c r="O406" s="2"/>
      <c r="Y406"/>
      <c r="Z406"/>
      <c r="AA406"/>
      <c r="AB406"/>
      <c r="AC406"/>
      <c r="AD406"/>
    </row>
    <row r="407" spans="13:30" x14ac:dyDescent="0.2">
      <c r="M407" s="2"/>
      <c r="N407" s="2"/>
      <c r="O407" s="2"/>
      <c r="Y407"/>
      <c r="Z407"/>
      <c r="AA407"/>
      <c r="AB407"/>
      <c r="AC407"/>
      <c r="AD407"/>
    </row>
    <row r="408" spans="13:30" x14ac:dyDescent="0.2">
      <c r="M408" s="2"/>
      <c r="N408" s="2"/>
      <c r="O408" s="2"/>
      <c r="Y408"/>
      <c r="Z408"/>
      <c r="AA408"/>
      <c r="AB408"/>
      <c r="AC408"/>
      <c r="AD408"/>
    </row>
    <row r="409" spans="13:30" x14ac:dyDescent="0.2">
      <c r="M409" s="2"/>
      <c r="N409" s="2"/>
      <c r="O409" s="2"/>
      <c r="Y409"/>
      <c r="Z409"/>
      <c r="AA409"/>
      <c r="AB409"/>
      <c r="AC409"/>
      <c r="AD409"/>
    </row>
    <row r="410" spans="13:30" x14ac:dyDescent="0.2">
      <c r="M410" s="2"/>
      <c r="N410" s="2"/>
      <c r="O410" s="2"/>
      <c r="Y410"/>
      <c r="Z410"/>
      <c r="AA410"/>
      <c r="AB410"/>
      <c r="AC410"/>
      <c r="AD410"/>
    </row>
    <row r="411" spans="13:30" x14ac:dyDescent="0.2">
      <c r="M411" s="2"/>
      <c r="N411" s="2"/>
      <c r="O411" s="2"/>
      <c r="Y411"/>
      <c r="Z411"/>
      <c r="AA411"/>
      <c r="AB411"/>
      <c r="AC411"/>
      <c r="AD411"/>
    </row>
    <row r="412" spans="13:30" x14ac:dyDescent="0.2">
      <c r="M412" s="2"/>
      <c r="N412" s="2"/>
      <c r="O412" s="2"/>
      <c r="Y412"/>
      <c r="Z412"/>
      <c r="AA412"/>
      <c r="AB412"/>
      <c r="AC412"/>
      <c r="AD412"/>
    </row>
    <row r="413" spans="13:30" x14ac:dyDescent="0.2">
      <c r="M413" s="2"/>
      <c r="N413" s="2"/>
      <c r="O413" s="2"/>
      <c r="Y413"/>
      <c r="Z413"/>
      <c r="AA413"/>
      <c r="AB413"/>
      <c r="AC413"/>
      <c r="AD413"/>
    </row>
    <row r="414" spans="13:30" x14ac:dyDescent="0.2">
      <c r="M414" s="2"/>
      <c r="N414" s="2"/>
      <c r="O414" s="2"/>
      <c r="Y414"/>
      <c r="Z414"/>
      <c r="AA414"/>
      <c r="AB414"/>
      <c r="AC414"/>
      <c r="AD414"/>
    </row>
    <row r="415" spans="13:30" x14ac:dyDescent="0.2">
      <c r="M415" s="2"/>
      <c r="N415" s="2"/>
      <c r="O415" s="2"/>
      <c r="Y415"/>
      <c r="Z415"/>
      <c r="AA415"/>
      <c r="AB415"/>
      <c r="AC415"/>
      <c r="AD415"/>
    </row>
    <row r="416" spans="13:30" x14ac:dyDescent="0.2">
      <c r="M416" s="2"/>
      <c r="N416" s="2"/>
      <c r="O416" s="2"/>
      <c r="Y416"/>
      <c r="Z416"/>
      <c r="AA416"/>
      <c r="AB416"/>
      <c r="AC416"/>
      <c r="AD416"/>
    </row>
    <row r="417" spans="13:30" x14ac:dyDescent="0.2">
      <c r="M417" s="2"/>
      <c r="N417" s="2"/>
      <c r="O417" s="2"/>
      <c r="Y417"/>
      <c r="Z417"/>
      <c r="AA417"/>
      <c r="AB417"/>
      <c r="AC417"/>
      <c r="AD417"/>
    </row>
    <row r="418" spans="13:30" x14ac:dyDescent="0.2">
      <c r="M418" s="2"/>
      <c r="N418" s="2"/>
      <c r="O418" s="2"/>
      <c r="Y418"/>
      <c r="Z418"/>
      <c r="AA418"/>
      <c r="AB418"/>
      <c r="AC418"/>
      <c r="AD418"/>
    </row>
    <row r="419" spans="13:30" x14ac:dyDescent="0.2">
      <c r="M419" s="2"/>
      <c r="N419" s="2"/>
      <c r="O419" s="2"/>
      <c r="Y419"/>
      <c r="Z419"/>
      <c r="AA419"/>
      <c r="AB419"/>
      <c r="AC419"/>
      <c r="AD419"/>
    </row>
    <row r="420" spans="13:30" x14ac:dyDescent="0.2">
      <c r="M420" s="2"/>
      <c r="N420" s="2"/>
      <c r="O420" s="2"/>
      <c r="Y420"/>
      <c r="Z420"/>
      <c r="AA420"/>
      <c r="AB420"/>
      <c r="AC420"/>
      <c r="AD420"/>
    </row>
    <row r="421" spans="13:30" x14ac:dyDescent="0.2">
      <c r="M421" s="2"/>
      <c r="N421" s="2"/>
      <c r="O421" s="2"/>
      <c r="Y421"/>
      <c r="Z421"/>
      <c r="AA421"/>
      <c r="AB421"/>
      <c r="AC421"/>
      <c r="AD421"/>
    </row>
    <row r="422" spans="13:30" x14ac:dyDescent="0.2">
      <c r="M422" s="2"/>
      <c r="N422" s="2"/>
      <c r="O422" s="2"/>
      <c r="Y422"/>
      <c r="Z422"/>
      <c r="AA422"/>
      <c r="AB422"/>
      <c r="AC422"/>
      <c r="AD422"/>
    </row>
    <row r="423" spans="13:30" x14ac:dyDescent="0.2">
      <c r="M423" s="2"/>
      <c r="N423" s="2"/>
      <c r="O423" s="2"/>
      <c r="Y423"/>
      <c r="Z423"/>
      <c r="AA423"/>
      <c r="AB423"/>
      <c r="AC423"/>
      <c r="AD423"/>
    </row>
    <row r="424" spans="13:30" x14ac:dyDescent="0.2">
      <c r="M424" s="2"/>
      <c r="N424" s="2"/>
      <c r="O424" s="2"/>
      <c r="Y424"/>
      <c r="Z424"/>
      <c r="AA424"/>
      <c r="AB424"/>
      <c r="AC424"/>
      <c r="AD424"/>
    </row>
    <row r="425" spans="13:30" x14ac:dyDescent="0.2">
      <c r="M425" s="2"/>
      <c r="N425" s="2"/>
      <c r="O425" s="2"/>
      <c r="Y425"/>
      <c r="Z425"/>
      <c r="AA425"/>
      <c r="AB425"/>
      <c r="AC425"/>
      <c r="AD425"/>
    </row>
    <row r="426" spans="13:30" x14ac:dyDescent="0.2">
      <c r="M426" s="2"/>
      <c r="N426" s="2"/>
      <c r="O426" s="2"/>
      <c r="Y426"/>
      <c r="Z426"/>
      <c r="AA426"/>
      <c r="AB426"/>
      <c r="AC426"/>
      <c r="AD426"/>
    </row>
    <row r="427" spans="13:30" x14ac:dyDescent="0.2">
      <c r="M427" s="2"/>
      <c r="N427" s="2"/>
      <c r="O427" s="2"/>
      <c r="Y427"/>
      <c r="Z427"/>
      <c r="AA427"/>
      <c r="AB427"/>
      <c r="AC427"/>
      <c r="AD427"/>
    </row>
    <row r="428" spans="13:30" x14ac:dyDescent="0.2">
      <c r="M428" s="2"/>
      <c r="N428" s="2"/>
      <c r="O428" s="2"/>
      <c r="Y428"/>
      <c r="Z428"/>
      <c r="AA428"/>
      <c r="AB428"/>
      <c r="AC428"/>
      <c r="AD428"/>
    </row>
    <row r="429" spans="13:30" x14ac:dyDescent="0.2">
      <c r="M429" s="2"/>
      <c r="N429" s="2"/>
      <c r="O429" s="2"/>
      <c r="Y429"/>
      <c r="Z429"/>
      <c r="AA429"/>
      <c r="AB429"/>
      <c r="AC429"/>
      <c r="AD429"/>
    </row>
    <row r="430" spans="13:30" x14ac:dyDescent="0.2">
      <c r="M430" s="2"/>
      <c r="N430" s="2"/>
      <c r="O430" s="2"/>
      <c r="Y430"/>
      <c r="Z430"/>
      <c r="AA430"/>
      <c r="AB430"/>
      <c r="AC430"/>
      <c r="AD430"/>
    </row>
    <row r="431" spans="13:30" x14ac:dyDescent="0.2">
      <c r="M431" s="2"/>
      <c r="N431" s="2"/>
      <c r="O431" s="2"/>
      <c r="Y431"/>
      <c r="Z431"/>
      <c r="AA431"/>
      <c r="AB431"/>
      <c r="AC431"/>
      <c r="AD431"/>
    </row>
    <row r="432" spans="13:30" x14ac:dyDescent="0.2">
      <c r="M432" s="2"/>
      <c r="N432" s="2"/>
      <c r="O432" s="2"/>
      <c r="Y432"/>
      <c r="Z432"/>
      <c r="AA432"/>
      <c r="AB432"/>
      <c r="AC432"/>
      <c r="AD432"/>
    </row>
    <row r="433" spans="13:30" x14ac:dyDescent="0.2">
      <c r="M433" s="2"/>
      <c r="N433" s="2"/>
      <c r="O433" s="2"/>
      <c r="Y433"/>
      <c r="Z433"/>
      <c r="AA433"/>
      <c r="AB433"/>
      <c r="AC433"/>
      <c r="AD433"/>
    </row>
    <row r="434" spans="13:30" x14ac:dyDescent="0.2">
      <c r="M434" s="2"/>
      <c r="N434" s="2"/>
      <c r="O434" s="2"/>
      <c r="Y434"/>
      <c r="Z434"/>
      <c r="AA434"/>
      <c r="AB434"/>
      <c r="AC434"/>
      <c r="AD434"/>
    </row>
    <row r="435" spans="13:30" x14ac:dyDescent="0.2">
      <c r="M435" s="2"/>
      <c r="N435" s="2"/>
      <c r="O435" s="2"/>
      <c r="Y435"/>
      <c r="Z435"/>
      <c r="AA435"/>
      <c r="AB435"/>
      <c r="AC435"/>
      <c r="AD435"/>
    </row>
    <row r="436" spans="13:30" x14ac:dyDescent="0.2">
      <c r="M436" s="2"/>
      <c r="N436" s="2"/>
      <c r="O436" s="2"/>
      <c r="Y436"/>
      <c r="Z436"/>
      <c r="AA436"/>
      <c r="AB436"/>
      <c r="AC436"/>
      <c r="AD436"/>
    </row>
    <row r="437" spans="13:30" x14ac:dyDescent="0.2">
      <c r="M437" s="2"/>
      <c r="N437" s="2"/>
      <c r="O437" s="2"/>
      <c r="Y437"/>
      <c r="Z437"/>
      <c r="AA437"/>
      <c r="AB437"/>
      <c r="AC437"/>
      <c r="AD437"/>
    </row>
    <row r="438" spans="13:30" x14ac:dyDescent="0.2">
      <c r="M438" s="2"/>
      <c r="N438" s="2"/>
      <c r="O438" s="2"/>
      <c r="Y438"/>
      <c r="Z438"/>
      <c r="AA438"/>
      <c r="AB438"/>
      <c r="AC438"/>
      <c r="AD438"/>
    </row>
    <row r="439" spans="13:30" x14ac:dyDescent="0.2">
      <c r="M439" s="2"/>
      <c r="N439" s="2"/>
      <c r="O439" s="2"/>
      <c r="Y439"/>
      <c r="Z439"/>
      <c r="AA439"/>
      <c r="AB439"/>
      <c r="AC439"/>
      <c r="AD439"/>
    </row>
    <row r="440" spans="13:30" x14ac:dyDescent="0.2">
      <c r="M440" s="2"/>
      <c r="N440" s="2"/>
      <c r="O440" s="2"/>
      <c r="Y440"/>
      <c r="Z440"/>
      <c r="AA440"/>
      <c r="AB440"/>
      <c r="AC440"/>
      <c r="AD440"/>
    </row>
    <row r="441" spans="13:30" x14ac:dyDescent="0.2">
      <c r="M441" s="2"/>
      <c r="N441" s="2"/>
      <c r="O441" s="2"/>
      <c r="Y441"/>
      <c r="Z441"/>
      <c r="AA441"/>
      <c r="AB441"/>
      <c r="AC441"/>
      <c r="AD441"/>
    </row>
    <row r="442" spans="13:30" x14ac:dyDescent="0.2">
      <c r="M442" s="2"/>
      <c r="N442" s="2"/>
      <c r="O442" s="2"/>
      <c r="Y442"/>
      <c r="Z442"/>
      <c r="AA442"/>
      <c r="AB442"/>
      <c r="AC442"/>
      <c r="AD442"/>
    </row>
    <row r="443" spans="13:30" x14ac:dyDescent="0.2">
      <c r="M443" s="2"/>
      <c r="N443" s="2"/>
      <c r="O443" s="2"/>
      <c r="Y443"/>
      <c r="Z443"/>
      <c r="AA443"/>
      <c r="AB443"/>
      <c r="AC443"/>
      <c r="AD443"/>
    </row>
    <row r="444" spans="13:30" x14ac:dyDescent="0.2">
      <c r="M444" s="2"/>
      <c r="N444" s="2"/>
      <c r="O444" s="2"/>
      <c r="Y444"/>
      <c r="Z444"/>
      <c r="AA444"/>
      <c r="AB444"/>
      <c r="AC444"/>
      <c r="AD444"/>
    </row>
    <row r="445" spans="13:30" x14ac:dyDescent="0.2">
      <c r="M445" s="2"/>
      <c r="N445" s="2"/>
      <c r="O445" s="2"/>
      <c r="Y445"/>
      <c r="Z445"/>
      <c r="AA445"/>
      <c r="AB445"/>
      <c r="AC445"/>
      <c r="AD445"/>
    </row>
    <row r="446" spans="13:30" x14ac:dyDescent="0.2">
      <c r="M446" s="2"/>
      <c r="N446" s="2"/>
      <c r="O446" s="2"/>
      <c r="Y446"/>
      <c r="Z446"/>
      <c r="AA446"/>
      <c r="AB446"/>
      <c r="AC446"/>
      <c r="AD446"/>
    </row>
    <row r="447" spans="13:30" x14ac:dyDescent="0.2">
      <c r="M447" s="2"/>
      <c r="N447" s="2"/>
      <c r="O447" s="2"/>
      <c r="Y447"/>
      <c r="Z447"/>
      <c r="AA447"/>
      <c r="AB447"/>
      <c r="AC447"/>
      <c r="AD447"/>
    </row>
    <row r="448" spans="13:30" x14ac:dyDescent="0.2">
      <c r="M448" s="2"/>
      <c r="N448" s="2"/>
      <c r="O448" s="2"/>
      <c r="Y448"/>
      <c r="Z448"/>
      <c r="AA448"/>
      <c r="AB448"/>
      <c r="AC448"/>
      <c r="AD448"/>
    </row>
    <row r="449" spans="13:30" x14ac:dyDescent="0.2">
      <c r="M449" s="2"/>
      <c r="N449" s="2"/>
      <c r="O449" s="2"/>
      <c r="Y449"/>
      <c r="Z449"/>
      <c r="AA449"/>
      <c r="AB449"/>
      <c r="AC449"/>
      <c r="AD449"/>
    </row>
    <row r="450" spans="13:30" x14ac:dyDescent="0.2">
      <c r="M450" s="2"/>
      <c r="N450" s="2"/>
      <c r="O450" s="2"/>
      <c r="Y450"/>
      <c r="Z450"/>
      <c r="AA450"/>
      <c r="AB450"/>
      <c r="AC450"/>
      <c r="AD450"/>
    </row>
    <row r="451" spans="13:30" x14ac:dyDescent="0.2">
      <c r="M451" s="2"/>
      <c r="N451" s="2"/>
      <c r="O451" s="2"/>
      <c r="Y451"/>
      <c r="Z451"/>
      <c r="AA451"/>
      <c r="AB451"/>
      <c r="AC451"/>
      <c r="AD451"/>
    </row>
    <row r="452" spans="13:30" x14ac:dyDescent="0.2">
      <c r="M452" s="2"/>
      <c r="N452" s="2"/>
      <c r="O452" s="2"/>
      <c r="Y452"/>
      <c r="Z452"/>
      <c r="AA452"/>
      <c r="AB452"/>
      <c r="AC452"/>
      <c r="AD452"/>
    </row>
    <row r="453" spans="13:30" x14ac:dyDescent="0.2">
      <c r="M453" s="2"/>
      <c r="N453" s="2"/>
      <c r="O453" s="2"/>
      <c r="Y453"/>
      <c r="Z453"/>
      <c r="AA453"/>
      <c r="AB453"/>
      <c r="AC453"/>
      <c r="AD453"/>
    </row>
    <row r="454" spans="13:30" x14ac:dyDescent="0.2">
      <c r="M454" s="2"/>
      <c r="N454" s="2"/>
      <c r="O454" s="2"/>
      <c r="Y454"/>
      <c r="Z454"/>
      <c r="AA454"/>
      <c r="AB454"/>
      <c r="AC454"/>
      <c r="AD454"/>
    </row>
    <row r="455" spans="13:30" x14ac:dyDescent="0.2">
      <c r="M455" s="2"/>
      <c r="N455" s="2"/>
      <c r="O455" s="2"/>
      <c r="Y455"/>
      <c r="Z455"/>
      <c r="AA455"/>
      <c r="AB455"/>
      <c r="AC455"/>
      <c r="AD455"/>
    </row>
    <row r="456" spans="13:30" x14ac:dyDescent="0.2">
      <c r="M456" s="2"/>
      <c r="N456" s="2"/>
      <c r="O456" s="2"/>
      <c r="Y456"/>
      <c r="Z456"/>
      <c r="AA456"/>
      <c r="AB456"/>
      <c r="AC456"/>
      <c r="AD456"/>
    </row>
    <row r="457" spans="13:30" x14ac:dyDescent="0.2">
      <c r="M457" s="2"/>
      <c r="N457" s="2"/>
      <c r="O457" s="2"/>
      <c r="Y457"/>
      <c r="Z457"/>
      <c r="AA457"/>
      <c r="AB457"/>
      <c r="AC457"/>
      <c r="AD457"/>
    </row>
    <row r="458" spans="13:30" x14ac:dyDescent="0.2">
      <c r="M458" s="2"/>
      <c r="N458" s="2"/>
      <c r="O458" s="2"/>
      <c r="Y458"/>
      <c r="Z458"/>
      <c r="AA458"/>
      <c r="AB458"/>
      <c r="AC458"/>
      <c r="AD458"/>
    </row>
    <row r="459" spans="13:30" x14ac:dyDescent="0.2">
      <c r="M459" s="2"/>
      <c r="N459" s="2"/>
      <c r="O459" s="2"/>
      <c r="Y459"/>
      <c r="Z459"/>
      <c r="AA459"/>
      <c r="AB459"/>
      <c r="AC459"/>
      <c r="AD459"/>
    </row>
    <row r="460" spans="13:30" x14ac:dyDescent="0.2">
      <c r="M460" s="2"/>
      <c r="N460" s="2"/>
      <c r="O460" s="2"/>
      <c r="Y460"/>
      <c r="Z460"/>
      <c r="AA460"/>
      <c r="AB460"/>
      <c r="AC460"/>
      <c r="AD460"/>
    </row>
    <row r="461" spans="13:30" x14ac:dyDescent="0.2">
      <c r="M461" s="2"/>
      <c r="N461" s="2"/>
      <c r="O461" s="2"/>
      <c r="Y461"/>
      <c r="Z461"/>
      <c r="AA461"/>
      <c r="AB461"/>
      <c r="AC461"/>
      <c r="AD461"/>
    </row>
    <row r="462" spans="13:30" x14ac:dyDescent="0.2">
      <c r="M462" s="2"/>
      <c r="N462" s="2"/>
      <c r="O462" s="2"/>
      <c r="Y462"/>
      <c r="Z462"/>
      <c r="AA462"/>
      <c r="AB462"/>
      <c r="AC462"/>
      <c r="AD462"/>
    </row>
    <row r="463" spans="13:30" x14ac:dyDescent="0.2">
      <c r="M463" s="2"/>
      <c r="N463" s="2"/>
      <c r="O463" s="2"/>
      <c r="Y463"/>
      <c r="Z463"/>
      <c r="AA463"/>
      <c r="AB463"/>
      <c r="AC463"/>
      <c r="AD463"/>
    </row>
    <row r="464" spans="13:30" x14ac:dyDescent="0.2">
      <c r="M464" s="2"/>
      <c r="N464" s="2"/>
      <c r="O464" s="2"/>
      <c r="Y464"/>
      <c r="Z464"/>
      <c r="AA464"/>
      <c r="AB464"/>
      <c r="AC464"/>
      <c r="AD464"/>
    </row>
    <row r="465" spans="13:30" x14ac:dyDescent="0.2">
      <c r="M465" s="2"/>
      <c r="N465" s="2"/>
      <c r="O465" s="2"/>
      <c r="Y465"/>
      <c r="Z465"/>
      <c r="AA465"/>
      <c r="AB465"/>
      <c r="AC465"/>
      <c r="AD465"/>
    </row>
    <row r="466" spans="13:30" x14ac:dyDescent="0.2">
      <c r="M466" s="2"/>
      <c r="N466" s="2"/>
      <c r="O466" s="2"/>
      <c r="Y466"/>
      <c r="Z466"/>
      <c r="AA466"/>
      <c r="AB466"/>
      <c r="AC466"/>
      <c r="AD466"/>
    </row>
    <row r="467" spans="13:30" x14ac:dyDescent="0.2">
      <c r="M467" s="2"/>
      <c r="N467" s="2"/>
      <c r="O467" s="2"/>
      <c r="Y467"/>
      <c r="Z467"/>
      <c r="AA467"/>
      <c r="AB467"/>
      <c r="AC467"/>
      <c r="AD467"/>
    </row>
    <row r="468" spans="13:30" x14ac:dyDescent="0.2">
      <c r="M468" s="2"/>
      <c r="N468" s="2"/>
      <c r="O468" s="2"/>
      <c r="Y468"/>
      <c r="Z468"/>
      <c r="AA468"/>
      <c r="AB468"/>
      <c r="AC468"/>
      <c r="AD468"/>
    </row>
    <row r="469" spans="13:30" x14ac:dyDescent="0.2">
      <c r="M469" s="2"/>
      <c r="N469" s="2"/>
      <c r="O469" s="2"/>
      <c r="Y469"/>
      <c r="Z469"/>
      <c r="AA469"/>
      <c r="AB469"/>
      <c r="AC469"/>
      <c r="AD469"/>
    </row>
    <row r="470" spans="13:30" x14ac:dyDescent="0.2">
      <c r="M470" s="2"/>
      <c r="N470" s="2"/>
      <c r="O470" s="2"/>
      <c r="Y470"/>
      <c r="Z470"/>
      <c r="AA470"/>
      <c r="AB470"/>
      <c r="AC470"/>
      <c r="AD470"/>
    </row>
    <row r="471" spans="13:30" x14ac:dyDescent="0.2">
      <c r="M471" s="2"/>
      <c r="N471" s="2"/>
      <c r="O471" s="2"/>
      <c r="Y471"/>
      <c r="Z471"/>
      <c r="AA471"/>
      <c r="AB471"/>
      <c r="AC471"/>
      <c r="AD471"/>
    </row>
    <row r="472" spans="13:30" x14ac:dyDescent="0.2">
      <c r="M472" s="2"/>
      <c r="N472" s="2"/>
      <c r="O472" s="2"/>
      <c r="Y472"/>
      <c r="Z472"/>
      <c r="AA472"/>
      <c r="AB472"/>
      <c r="AC472"/>
      <c r="AD472"/>
    </row>
    <row r="473" spans="13:30" x14ac:dyDescent="0.2">
      <c r="M473" s="2"/>
      <c r="N473" s="2"/>
      <c r="O473" s="2"/>
      <c r="Y473"/>
      <c r="Z473"/>
      <c r="AA473"/>
      <c r="AB473"/>
      <c r="AC473"/>
      <c r="AD473"/>
    </row>
    <row r="474" spans="13:30" x14ac:dyDescent="0.2">
      <c r="M474" s="2"/>
      <c r="N474" s="2"/>
      <c r="O474" s="2"/>
      <c r="Y474"/>
      <c r="Z474"/>
      <c r="AA474"/>
      <c r="AB474"/>
      <c r="AC474"/>
      <c r="AD474"/>
    </row>
    <row r="475" spans="13:30" x14ac:dyDescent="0.2">
      <c r="M475" s="2"/>
      <c r="N475" s="2"/>
      <c r="O475" s="2"/>
      <c r="Y475"/>
      <c r="Z475"/>
      <c r="AA475"/>
      <c r="AB475"/>
      <c r="AC475"/>
      <c r="AD475"/>
    </row>
    <row r="476" spans="13:30" x14ac:dyDescent="0.2">
      <c r="M476" s="2"/>
      <c r="N476" s="2"/>
      <c r="O476" s="2"/>
      <c r="Y476"/>
      <c r="Z476"/>
      <c r="AA476"/>
      <c r="AB476"/>
      <c r="AC476"/>
      <c r="AD476"/>
    </row>
    <row r="477" spans="13:30" x14ac:dyDescent="0.2">
      <c r="M477" s="2"/>
      <c r="N477" s="2"/>
      <c r="O477" s="2"/>
      <c r="Y477"/>
      <c r="Z477"/>
      <c r="AA477"/>
      <c r="AB477"/>
      <c r="AC477"/>
      <c r="AD477"/>
    </row>
    <row r="478" spans="13:30" x14ac:dyDescent="0.2">
      <c r="M478" s="2"/>
      <c r="N478" s="2"/>
      <c r="O478" s="2"/>
      <c r="Y478"/>
      <c r="Z478"/>
      <c r="AA478"/>
      <c r="AB478"/>
      <c r="AC478"/>
      <c r="AD478"/>
    </row>
    <row r="479" spans="13:30" x14ac:dyDescent="0.2">
      <c r="M479" s="2"/>
      <c r="N479" s="2"/>
      <c r="O479" s="2"/>
      <c r="Y479"/>
      <c r="Z479"/>
      <c r="AA479"/>
      <c r="AB479"/>
      <c r="AC479"/>
      <c r="AD479"/>
    </row>
    <row r="480" spans="13:30" x14ac:dyDescent="0.2">
      <c r="M480" s="2"/>
      <c r="N480" s="2"/>
      <c r="O480" s="2"/>
      <c r="Y480"/>
      <c r="Z480"/>
      <c r="AA480"/>
      <c r="AB480"/>
      <c r="AC480"/>
      <c r="AD480"/>
    </row>
    <row r="481" spans="13:30" x14ac:dyDescent="0.2">
      <c r="M481" s="2"/>
      <c r="N481" s="2"/>
      <c r="O481" s="2"/>
      <c r="Y481"/>
      <c r="Z481"/>
      <c r="AA481"/>
      <c r="AB481"/>
      <c r="AC481"/>
      <c r="AD481"/>
    </row>
    <row r="482" spans="13:30" x14ac:dyDescent="0.2">
      <c r="M482" s="2"/>
      <c r="N482" s="2"/>
      <c r="O482" s="2"/>
      <c r="Y482"/>
      <c r="Z482"/>
      <c r="AA482"/>
      <c r="AB482"/>
      <c r="AC482"/>
      <c r="AD482"/>
    </row>
    <row r="483" spans="13:30" x14ac:dyDescent="0.2">
      <c r="M483" s="2"/>
      <c r="N483" s="2"/>
      <c r="O483" s="2"/>
      <c r="Y483"/>
      <c r="Z483"/>
      <c r="AA483"/>
      <c r="AB483"/>
      <c r="AC483"/>
      <c r="AD483"/>
    </row>
    <row r="484" spans="13:30" x14ac:dyDescent="0.2">
      <c r="M484" s="2"/>
      <c r="N484" s="2"/>
      <c r="O484" s="2"/>
      <c r="Y484"/>
      <c r="Z484"/>
      <c r="AA484"/>
      <c r="AB484"/>
      <c r="AC484"/>
      <c r="AD484"/>
    </row>
    <row r="485" spans="13:30" x14ac:dyDescent="0.2">
      <c r="M485" s="2"/>
      <c r="N485" s="2"/>
      <c r="O485" s="2"/>
      <c r="Y485"/>
      <c r="Z485"/>
      <c r="AA485"/>
      <c r="AB485"/>
      <c r="AC485"/>
      <c r="AD485"/>
    </row>
    <row r="486" spans="13:30" x14ac:dyDescent="0.2">
      <c r="M486" s="2"/>
      <c r="N486" s="2"/>
      <c r="O486" s="2"/>
      <c r="Y486"/>
      <c r="Z486"/>
      <c r="AA486"/>
      <c r="AB486"/>
      <c r="AC486"/>
      <c r="AD486"/>
    </row>
    <row r="487" spans="13:30" x14ac:dyDescent="0.2">
      <c r="M487" s="2"/>
      <c r="N487" s="2"/>
      <c r="O487" s="2"/>
      <c r="Y487"/>
      <c r="Z487"/>
      <c r="AA487"/>
      <c r="AB487"/>
      <c r="AC487"/>
      <c r="AD487"/>
    </row>
    <row r="488" spans="13:30" x14ac:dyDescent="0.2">
      <c r="M488" s="2"/>
      <c r="N488" s="2"/>
      <c r="O488" s="2"/>
      <c r="Y488"/>
      <c r="Z488"/>
      <c r="AA488"/>
      <c r="AB488"/>
      <c r="AC488"/>
      <c r="AD488"/>
    </row>
    <row r="489" spans="13:30" x14ac:dyDescent="0.2">
      <c r="M489" s="2"/>
      <c r="N489" s="2"/>
      <c r="O489" s="2"/>
      <c r="Y489"/>
      <c r="Z489"/>
      <c r="AA489"/>
      <c r="AB489"/>
      <c r="AC489"/>
      <c r="AD489"/>
    </row>
    <row r="490" spans="13:30" x14ac:dyDescent="0.2">
      <c r="M490" s="2"/>
      <c r="N490" s="2"/>
      <c r="O490" s="2"/>
      <c r="Y490"/>
      <c r="Z490"/>
      <c r="AA490"/>
      <c r="AB490"/>
      <c r="AC490"/>
      <c r="AD490"/>
    </row>
    <row r="491" spans="13:30" x14ac:dyDescent="0.2">
      <c r="M491" s="2"/>
      <c r="N491" s="2"/>
      <c r="O491" s="2"/>
      <c r="Y491"/>
      <c r="Z491"/>
      <c r="AA491"/>
      <c r="AB491"/>
      <c r="AC491"/>
      <c r="AD491"/>
    </row>
    <row r="492" spans="13:30" x14ac:dyDescent="0.2">
      <c r="M492" s="2"/>
      <c r="N492" s="2"/>
      <c r="O492" s="2"/>
      <c r="Y492"/>
      <c r="Z492"/>
      <c r="AA492"/>
      <c r="AB492"/>
      <c r="AC492"/>
      <c r="AD492"/>
    </row>
    <row r="493" spans="13:30" x14ac:dyDescent="0.2">
      <c r="M493" s="2"/>
      <c r="N493" s="2"/>
      <c r="O493" s="2"/>
      <c r="Y493"/>
      <c r="Z493"/>
      <c r="AA493"/>
      <c r="AB493"/>
      <c r="AC493"/>
      <c r="AD493"/>
    </row>
    <row r="494" spans="13:30" x14ac:dyDescent="0.2">
      <c r="M494" s="2"/>
      <c r="N494" s="2"/>
      <c r="O494" s="2"/>
      <c r="Y494"/>
      <c r="Z494"/>
      <c r="AA494"/>
      <c r="AB494"/>
      <c r="AC494"/>
      <c r="AD494"/>
    </row>
    <row r="495" spans="13:30" x14ac:dyDescent="0.2">
      <c r="M495" s="2"/>
      <c r="N495" s="2"/>
      <c r="O495" s="2"/>
      <c r="Y495"/>
      <c r="Z495"/>
      <c r="AA495"/>
      <c r="AB495"/>
      <c r="AC495"/>
      <c r="AD495"/>
    </row>
    <row r="496" spans="13:30" x14ac:dyDescent="0.2">
      <c r="M496" s="2"/>
      <c r="N496" s="2"/>
      <c r="O496" s="2"/>
      <c r="Y496"/>
      <c r="Z496"/>
      <c r="AA496"/>
      <c r="AB496"/>
      <c r="AC496"/>
      <c r="AD496"/>
    </row>
    <row r="497" spans="13:30" x14ac:dyDescent="0.2">
      <c r="M497" s="2"/>
      <c r="N497" s="2"/>
      <c r="O497" s="2"/>
      <c r="Y497"/>
      <c r="Z497"/>
      <c r="AA497"/>
      <c r="AB497"/>
      <c r="AC497"/>
      <c r="AD497"/>
    </row>
    <row r="498" spans="13:30" x14ac:dyDescent="0.2">
      <c r="M498" s="2"/>
      <c r="N498" s="2"/>
      <c r="O498" s="2"/>
      <c r="Y498"/>
      <c r="Z498"/>
      <c r="AA498"/>
      <c r="AB498"/>
      <c r="AC498"/>
      <c r="AD498"/>
    </row>
    <row r="499" spans="13:30" x14ac:dyDescent="0.2">
      <c r="M499" s="2"/>
      <c r="N499" s="2"/>
      <c r="O499" s="2"/>
      <c r="Y499"/>
      <c r="Z499"/>
      <c r="AA499"/>
      <c r="AB499"/>
      <c r="AC499"/>
      <c r="AD499"/>
    </row>
    <row r="500" spans="13:30" x14ac:dyDescent="0.2">
      <c r="M500" s="2"/>
      <c r="N500" s="2"/>
      <c r="O500" s="2"/>
      <c r="Y500"/>
      <c r="Z500"/>
      <c r="AA500"/>
      <c r="AB500"/>
      <c r="AC500"/>
      <c r="AD500"/>
    </row>
    <row r="501" spans="13:30" x14ac:dyDescent="0.2">
      <c r="M501" s="2"/>
      <c r="N501" s="2"/>
      <c r="O501" s="2"/>
      <c r="Y501"/>
      <c r="Z501"/>
      <c r="AA501"/>
      <c r="AB501"/>
      <c r="AC501"/>
      <c r="AD501"/>
    </row>
    <row r="502" spans="13:30" x14ac:dyDescent="0.2">
      <c r="M502" s="2"/>
      <c r="N502" s="2"/>
      <c r="O502" s="2"/>
      <c r="Y502"/>
      <c r="Z502"/>
      <c r="AA502"/>
      <c r="AB502"/>
      <c r="AC502"/>
      <c r="AD502"/>
    </row>
    <row r="503" spans="13:30" x14ac:dyDescent="0.2">
      <c r="M503" s="2"/>
      <c r="N503" s="2"/>
      <c r="O503" s="2"/>
      <c r="Y503"/>
      <c r="Z503"/>
      <c r="AA503"/>
      <c r="AB503"/>
      <c r="AC503"/>
      <c r="AD503"/>
    </row>
    <row r="504" spans="13:30" x14ac:dyDescent="0.2">
      <c r="M504" s="2"/>
      <c r="N504" s="2"/>
      <c r="O504" s="2"/>
      <c r="Y504"/>
      <c r="Z504"/>
      <c r="AA504"/>
      <c r="AB504"/>
      <c r="AC504"/>
      <c r="AD504"/>
    </row>
    <row r="505" spans="13:30" x14ac:dyDescent="0.2">
      <c r="M505" s="2"/>
      <c r="N505" s="2"/>
      <c r="O505" s="2"/>
      <c r="Y505"/>
      <c r="Z505"/>
      <c r="AA505"/>
      <c r="AB505"/>
      <c r="AC505"/>
      <c r="AD505"/>
    </row>
    <row r="506" spans="13:30" x14ac:dyDescent="0.2">
      <c r="M506" s="2"/>
      <c r="N506" s="2"/>
      <c r="O506" s="2"/>
      <c r="Y506"/>
      <c r="Z506"/>
      <c r="AA506"/>
      <c r="AB506"/>
      <c r="AC506"/>
      <c r="AD506"/>
    </row>
    <row r="507" spans="13:30" x14ac:dyDescent="0.2">
      <c r="M507" s="2"/>
      <c r="N507" s="2"/>
      <c r="O507" s="2"/>
      <c r="Y507"/>
      <c r="Z507"/>
      <c r="AA507"/>
      <c r="AB507"/>
      <c r="AC507"/>
      <c r="AD507"/>
    </row>
    <row r="508" spans="13:30" x14ac:dyDescent="0.2">
      <c r="M508" s="2"/>
      <c r="N508" s="2"/>
      <c r="O508" s="2"/>
      <c r="Y508"/>
      <c r="Z508"/>
      <c r="AA508"/>
      <c r="AB508"/>
      <c r="AC508"/>
      <c r="AD508"/>
    </row>
    <row r="509" spans="13:30" x14ac:dyDescent="0.2">
      <c r="M509" s="2"/>
      <c r="N509" s="2"/>
      <c r="O509" s="2"/>
      <c r="Y509"/>
      <c r="Z509"/>
      <c r="AA509"/>
      <c r="AB509"/>
      <c r="AC509"/>
      <c r="AD509"/>
    </row>
    <row r="510" spans="13:30" x14ac:dyDescent="0.2">
      <c r="M510" s="2"/>
      <c r="N510" s="2"/>
      <c r="O510" s="2"/>
      <c r="Y510"/>
      <c r="Z510"/>
      <c r="AA510"/>
      <c r="AB510"/>
      <c r="AC510"/>
      <c r="AD510"/>
    </row>
    <row r="511" spans="13:30" x14ac:dyDescent="0.2">
      <c r="M511" s="2"/>
      <c r="N511" s="2"/>
      <c r="O511" s="2"/>
      <c r="Y511"/>
      <c r="Z511"/>
      <c r="AA511"/>
      <c r="AB511"/>
      <c r="AC511"/>
      <c r="AD511"/>
    </row>
    <row r="512" spans="13:30" x14ac:dyDescent="0.2">
      <c r="M512" s="2"/>
      <c r="N512" s="2"/>
      <c r="O512" s="2"/>
      <c r="Y512"/>
      <c r="Z512"/>
      <c r="AA512"/>
      <c r="AB512"/>
      <c r="AC512"/>
      <c r="AD512"/>
    </row>
    <row r="513" spans="13:30" x14ac:dyDescent="0.2">
      <c r="M513" s="2"/>
      <c r="N513" s="2"/>
      <c r="O513" s="2"/>
      <c r="Y513"/>
      <c r="Z513"/>
      <c r="AA513"/>
      <c r="AB513"/>
      <c r="AC513"/>
      <c r="AD513"/>
    </row>
    <row r="514" spans="13:30" x14ac:dyDescent="0.2">
      <c r="M514" s="2"/>
      <c r="N514" s="2"/>
      <c r="O514" s="2"/>
      <c r="Y514"/>
      <c r="Z514"/>
      <c r="AA514"/>
      <c r="AB514"/>
      <c r="AC514"/>
      <c r="AD514"/>
    </row>
    <row r="515" spans="13:30" x14ac:dyDescent="0.2">
      <c r="M515" s="2"/>
      <c r="N515" s="2"/>
      <c r="O515" s="2"/>
      <c r="Y515"/>
      <c r="Z515"/>
      <c r="AA515"/>
      <c r="AB515"/>
      <c r="AC515"/>
      <c r="AD515"/>
    </row>
    <row r="516" spans="13:30" x14ac:dyDescent="0.2">
      <c r="M516" s="2"/>
      <c r="N516" s="2"/>
      <c r="O516" s="2"/>
      <c r="Y516"/>
      <c r="Z516"/>
      <c r="AA516"/>
      <c r="AB516"/>
      <c r="AC516"/>
      <c r="AD516"/>
    </row>
    <row r="517" spans="13:30" x14ac:dyDescent="0.2">
      <c r="M517" s="2"/>
      <c r="N517" s="2"/>
      <c r="O517" s="2"/>
      <c r="Y517"/>
      <c r="Z517"/>
      <c r="AA517"/>
      <c r="AB517"/>
      <c r="AC517"/>
      <c r="AD517"/>
    </row>
    <row r="518" spans="13:30" x14ac:dyDescent="0.2">
      <c r="M518" s="2"/>
      <c r="N518" s="2"/>
      <c r="O518" s="2"/>
      <c r="Y518"/>
      <c r="Z518"/>
      <c r="AA518"/>
      <c r="AB518"/>
      <c r="AC518"/>
      <c r="AD518"/>
    </row>
    <row r="519" spans="13:30" x14ac:dyDescent="0.2">
      <c r="M519" s="2"/>
      <c r="N519" s="2"/>
      <c r="O519" s="2"/>
      <c r="Y519"/>
      <c r="Z519"/>
      <c r="AA519"/>
      <c r="AB519"/>
      <c r="AC519"/>
      <c r="AD519"/>
    </row>
    <row r="520" spans="13:30" x14ac:dyDescent="0.2">
      <c r="M520" s="2"/>
      <c r="N520" s="2"/>
      <c r="O520" s="2"/>
      <c r="Y520"/>
      <c r="Z520"/>
      <c r="AA520"/>
      <c r="AB520"/>
      <c r="AC520"/>
      <c r="AD520"/>
    </row>
    <row r="521" spans="13:30" x14ac:dyDescent="0.2">
      <c r="M521" s="2"/>
      <c r="N521" s="2"/>
      <c r="O521" s="2"/>
      <c r="Y521"/>
      <c r="Z521"/>
      <c r="AA521"/>
      <c r="AB521"/>
      <c r="AC521"/>
      <c r="AD521"/>
    </row>
    <row r="522" spans="13:30" x14ac:dyDescent="0.2">
      <c r="M522" s="2"/>
      <c r="N522" s="2"/>
      <c r="O522" s="2"/>
      <c r="Y522"/>
      <c r="Z522"/>
      <c r="AA522"/>
      <c r="AB522"/>
      <c r="AC522"/>
      <c r="AD522"/>
    </row>
    <row r="523" spans="13:30" x14ac:dyDescent="0.2">
      <c r="M523" s="2"/>
      <c r="N523" s="2"/>
      <c r="O523" s="2"/>
      <c r="Y523"/>
      <c r="Z523"/>
      <c r="AA523"/>
      <c r="AB523"/>
      <c r="AC523"/>
      <c r="AD523"/>
    </row>
    <row r="524" spans="13:30" x14ac:dyDescent="0.2">
      <c r="M524" s="2"/>
      <c r="N524" s="2"/>
      <c r="O524" s="2"/>
      <c r="Y524"/>
      <c r="Z524"/>
      <c r="AA524"/>
      <c r="AB524"/>
      <c r="AC524"/>
      <c r="AD524"/>
    </row>
    <row r="525" spans="13:30" x14ac:dyDescent="0.2">
      <c r="M525" s="2"/>
      <c r="N525" s="2"/>
      <c r="O525" s="2"/>
      <c r="Y525"/>
      <c r="Z525"/>
      <c r="AA525"/>
      <c r="AB525"/>
      <c r="AC525"/>
      <c r="AD525"/>
    </row>
    <row r="526" spans="13:30" x14ac:dyDescent="0.2">
      <c r="M526" s="2"/>
      <c r="N526" s="2"/>
      <c r="O526" s="2"/>
      <c r="Y526"/>
      <c r="Z526"/>
      <c r="AA526"/>
      <c r="AB526"/>
      <c r="AC526"/>
      <c r="AD526"/>
    </row>
    <row r="527" spans="13:30" x14ac:dyDescent="0.2">
      <c r="M527" s="2"/>
      <c r="N527" s="2"/>
      <c r="O527" s="2"/>
      <c r="Y527"/>
      <c r="Z527"/>
      <c r="AA527"/>
      <c r="AB527"/>
      <c r="AC527"/>
      <c r="AD527"/>
    </row>
    <row r="528" spans="13:30" x14ac:dyDescent="0.2">
      <c r="M528" s="2"/>
      <c r="N528" s="2"/>
      <c r="O528" s="2"/>
      <c r="Y528"/>
      <c r="Z528"/>
      <c r="AA528"/>
      <c r="AB528"/>
      <c r="AC528"/>
      <c r="AD528"/>
    </row>
    <row r="529" spans="13:30" x14ac:dyDescent="0.2">
      <c r="M529" s="2"/>
      <c r="N529" s="2"/>
      <c r="O529" s="2"/>
      <c r="Y529"/>
      <c r="Z529"/>
      <c r="AA529"/>
      <c r="AB529"/>
      <c r="AC529"/>
      <c r="AD529"/>
    </row>
    <row r="530" spans="13:30" x14ac:dyDescent="0.2">
      <c r="M530" s="2"/>
      <c r="N530" s="2"/>
      <c r="O530" s="2"/>
      <c r="Y530"/>
      <c r="Z530"/>
      <c r="AA530"/>
      <c r="AB530"/>
      <c r="AC530"/>
      <c r="AD530"/>
    </row>
    <row r="531" spans="13:30" x14ac:dyDescent="0.2">
      <c r="M531" s="2"/>
      <c r="N531" s="2"/>
      <c r="O531" s="2"/>
      <c r="Y531"/>
      <c r="Z531"/>
      <c r="AA531"/>
      <c r="AB531"/>
      <c r="AC531"/>
      <c r="AD531"/>
    </row>
    <row r="532" spans="13:30" x14ac:dyDescent="0.2">
      <c r="M532" s="2"/>
      <c r="N532" s="2"/>
      <c r="O532" s="2"/>
      <c r="Y532"/>
      <c r="Z532"/>
      <c r="AA532"/>
      <c r="AB532"/>
      <c r="AC532"/>
      <c r="AD532"/>
    </row>
    <row r="533" spans="13:30" x14ac:dyDescent="0.2">
      <c r="M533" s="2"/>
      <c r="N533" s="2"/>
      <c r="O533" s="2"/>
      <c r="Y533"/>
      <c r="Z533"/>
      <c r="AA533"/>
      <c r="AB533"/>
      <c r="AC533"/>
      <c r="AD533"/>
    </row>
    <row r="534" spans="13:30" x14ac:dyDescent="0.2">
      <c r="M534" s="2"/>
      <c r="N534" s="2"/>
      <c r="O534" s="2"/>
      <c r="Y534"/>
      <c r="Z534"/>
      <c r="AA534"/>
      <c r="AB534"/>
      <c r="AC534"/>
      <c r="AD534"/>
    </row>
    <row r="535" spans="13:30" x14ac:dyDescent="0.2">
      <c r="M535" s="2"/>
      <c r="N535" s="2"/>
      <c r="O535" s="2"/>
      <c r="Y535"/>
      <c r="Z535"/>
      <c r="AA535"/>
      <c r="AB535"/>
      <c r="AC535"/>
      <c r="AD535"/>
    </row>
    <row r="536" spans="13:30" x14ac:dyDescent="0.2">
      <c r="M536" s="2"/>
      <c r="N536" s="2"/>
      <c r="O536" s="2"/>
      <c r="Y536"/>
      <c r="Z536"/>
      <c r="AA536"/>
      <c r="AB536"/>
      <c r="AC536"/>
      <c r="AD536"/>
    </row>
    <row r="537" spans="13:30" x14ac:dyDescent="0.2">
      <c r="M537" s="2"/>
      <c r="N537" s="2"/>
      <c r="O537" s="2"/>
      <c r="Y537"/>
      <c r="Z537"/>
      <c r="AA537"/>
      <c r="AB537"/>
      <c r="AC537"/>
      <c r="AD537"/>
    </row>
    <row r="538" spans="13:30" x14ac:dyDescent="0.2">
      <c r="M538" s="2"/>
      <c r="N538" s="2"/>
      <c r="O538" s="2"/>
      <c r="Y538"/>
      <c r="Z538"/>
      <c r="AA538"/>
      <c r="AB538"/>
      <c r="AC538"/>
      <c r="AD538"/>
    </row>
    <row r="539" spans="13:30" x14ac:dyDescent="0.2">
      <c r="M539" s="2"/>
      <c r="N539" s="2"/>
      <c r="O539" s="2"/>
      <c r="Y539"/>
      <c r="Z539"/>
      <c r="AA539"/>
      <c r="AB539"/>
      <c r="AC539"/>
      <c r="AD539"/>
    </row>
    <row r="540" spans="13:30" x14ac:dyDescent="0.2">
      <c r="M540" s="2"/>
      <c r="N540" s="2"/>
      <c r="O540" s="2"/>
      <c r="Y540"/>
      <c r="Z540"/>
      <c r="AA540"/>
      <c r="AB540"/>
      <c r="AC540"/>
      <c r="AD540"/>
    </row>
    <row r="541" spans="13:30" x14ac:dyDescent="0.2">
      <c r="M541" s="2"/>
      <c r="N541" s="2"/>
      <c r="O541" s="2"/>
      <c r="Y541"/>
      <c r="Z541"/>
      <c r="AA541"/>
      <c r="AB541"/>
      <c r="AC541"/>
      <c r="AD541"/>
    </row>
    <row r="542" spans="13:30" x14ac:dyDescent="0.2">
      <c r="M542" s="2"/>
      <c r="N542" s="2"/>
      <c r="O542" s="2"/>
      <c r="Y542"/>
      <c r="Z542"/>
      <c r="AA542"/>
      <c r="AB542"/>
      <c r="AC542"/>
      <c r="AD542"/>
    </row>
    <row r="543" spans="13:30" x14ac:dyDescent="0.2">
      <c r="M543" s="2"/>
      <c r="N543" s="2"/>
      <c r="O543" s="2"/>
      <c r="Y543"/>
      <c r="Z543"/>
      <c r="AA543"/>
      <c r="AB543"/>
      <c r="AC543"/>
      <c r="AD543"/>
    </row>
    <row r="544" spans="13:30" x14ac:dyDescent="0.2">
      <c r="M544" s="2"/>
      <c r="N544" s="2"/>
      <c r="O544" s="2"/>
      <c r="Y544"/>
      <c r="Z544"/>
      <c r="AA544"/>
      <c r="AB544"/>
      <c r="AC544"/>
      <c r="AD544"/>
    </row>
    <row r="545" spans="13:30" x14ac:dyDescent="0.2">
      <c r="M545" s="2"/>
      <c r="N545" s="2"/>
      <c r="O545" s="2"/>
      <c r="Y545"/>
      <c r="Z545"/>
      <c r="AA545"/>
      <c r="AB545"/>
      <c r="AC545"/>
      <c r="AD545"/>
    </row>
    <row r="546" spans="13:30" x14ac:dyDescent="0.2">
      <c r="M546" s="2"/>
      <c r="N546" s="2"/>
      <c r="O546" s="2"/>
      <c r="Y546"/>
      <c r="Z546"/>
      <c r="AA546"/>
      <c r="AB546"/>
      <c r="AC546"/>
      <c r="AD546"/>
    </row>
    <row r="547" spans="13:30" x14ac:dyDescent="0.2">
      <c r="M547" s="2"/>
      <c r="N547" s="2"/>
      <c r="O547" s="2"/>
      <c r="Y547"/>
      <c r="Z547"/>
      <c r="AA547"/>
      <c r="AB547"/>
      <c r="AC547"/>
      <c r="AD547"/>
    </row>
    <row r="548" spans="13:30" x14ac:dyDescent="0.2">
      <c r="M548" s="2"/>
      <c r="N548" s="2"/>
      <c r="O548" s="2"/>
      <c r="Y548"/>
      <c r="Z548"/>
      <c r="AA548"/>
      <c r="AB548"/>
      <c r="AC548"/>
      <c r="AD548"/>
    </row>
    <row r="549" spans="13:30" x14ac:dyDescent="0.2">
      <c r="M549" s="2"/>
      <c r="N549" s="2"/>
      <c r="O549" s="2"/>
      <c r="Y549"/>
      <c r="Z549"/>
      <c r="AA549"/>
      <c r="AB549"/>
      <c r="AC549"/>
      <c r="AD549"/>
    </row>
    <row r="550" spans="13:30" x14ac:dyDescent="0.2">
      <c r="M550" s="2"/>
      <c r="N550" s="2"/>
      <c r="O550" s="2"/>
      <c r="Y550"/>
      <c r="Z550"/>
      <c r="AA550"/>
      <c r="AB550"/>
      <c r="AC550"/>
      <c r="AD550"/>
    </row>
    <row r="551" spans="13:30" x14ac:dyDescent="0.2">
      <c r="M551" s="2"/>
      <c r="N551" s="2"/>
      <c r="O551" s="2"/>
      <c r="Y551"/>
      <c r="Z551"/>
      <c r="AA551"/>
      <c r="AB551"/>
      <c r="AC551"/>
      <c r="AD551"/>
    </row>
    <row r="552" spans="13:30" x14ac:dyDescent="0.2">
      <c r="M552" s="2"/>
      <c r="N552" s="2"/>
      <c r="O552" s="2"/>
      <c r="Y552"/>
      <c r="Z552"/>
      <c r="AA552"/>
      <c r="AB552"/>
      <c r="AC552"/>
      <c r="AD552"/>
    </row>
    <row r="553" spans="13:30" x14ac:dyDescent="0.2">
      <c r="M553" s="2"/>
      <c r="N553" s="2"/>
      <c r="O553" s="2"/>
      <c r="Y553"/>
      <c r="Z553"/>
      <c r="AA553"/>
      <c r="AB553"/>
      <c r="AC553"/>
      <c r="AD553"/>
    </row>
    <row r="554" spans="13:30" x14ac:dyDescent="0.2">
      <c r="M554" s="2"/>
      <c r="N554" s="2"/>
      <c r="O554" s="2"/>
      <c r="Y554"/>
      <c r="Z554"/>
      <c r="AA554"/>
      <c r="AB554"/>
      <c r="AC554"/>
      <c r="AD554"/>
    </row>
    <row r="555" spans="13:30" x14ac:dyDescent="0.2">
      <c r="M555" s="2"/>
      <c r="N555" s="2"/>
      <c r="O555" s="2"/>
      <c r="Y555"/>
      <c r="Z555"/>
      <c r="AA555"/>
      <c r="AB555"/>
      <c r="AC555"/>
      <c r="AD555"/>
    </row>
    <row r="556" spans="13:30" x14ac:dyDescent="0.2">
      <c r="M556" s="2"/>
      <c r="N556" s="2"/>
      <c r="O556" s="2"/>
      <c r="Y556"/>
      <c r="Z556"/>
      <c r="AA556"/>
      <c r="AB556"/>
      <c r="AC556"/>
      <c r="AD556"/>
    </row>
    <row r="557" spans="13:30" x14ac:dyDescent="0.2">
      <c r="M557" s="2"/>
      <c r="N557" s="2"/>
      <c r="O557" s="2"/>
      <c r="Y557"/>
      <c r="Z557"/>
      <c r="AA557"/>
      <c r="AB557"/>
      <c r="AC557"/>
      <c r="AD557"/>
    </row>
    <row r="558" spans="13:30" x14ac:dyDescent="0.2">
      <c r="M558" s="2"/>
      <c r="N558" s="2"/>
      <c r="O558" s="2"/>
      <c r="Y558"/>
      <c r="Z558"/>
      <c r="AA558"/>
      <c r="AB558"/>
      <c r="AC558"/>
      <c r="AD558"/>
    </row>
    <row r="559" spans="13:30" x14ac:dyDescent="0.2">
      <c r="M559" s="2"/>
      <c r="N559" s="2"/>
      <c r="O559" s="2"/>
      <c r="Y559"/>
      <c r="Z559"/>
      <c r="AA559"/>
      <c r="AB559"/>
      <c r="AC559"/>
      <c r="AD559"/>
    </row>
    <row r="560" spans="13:30" x14ac:dyDescent="0.2">
      <c r="M560" s="2"/>
      <c r="N560" s="2"/>
      <c r="O560" s="2"/>
      <c r="Y560"/>
      <c r="Z560"/>
      <c r="AA560"/>
      <c r="AB560"/>
      <c r="AC560"/>
      <c r="AD560"/>
    </row>
    <row r="561" spans="13:30" x14ac:dyDescent="0.2">
      <c r="M561" s="2"/>
      <c r="N561" s="2"/>
      <c r="O561" s="2"/>
      <c r="Y561"/>
      <c r="Z561"/>
      <c r="AA561"/>
      <c r="AB561"/>
      <c r="AC561"/>
      <c r="AD561"/>
    </row>
    <row r="562" spans="13:30" x14ac:dyDescent="0.2">
      <c r="M562" s="2"/>
      <c r="N562" s="2"/>
      <c r="O562" s="2"/>
      <c r="Y562"/>
      <c r="Z562"/>
      <c r="AA562"/>
      <c r="AB562"/>
      <c r="AC562"/>
      <c r="AD562"/>
    </row>
    <row r="563" spans="13:30" x14ac:dyDescent="0.2">
      <c r="M563" s="2"/>
      <c r="N563" s="2"/>
      <c r="O563" s="2"/>
      <c r="Y563"/>
      <c r="Z563"/>
      <c r="AA563"/>
      <c r="AB563"/>
      <c r="AC563"/>
      <c r="AD563"/>
    </row>
    <row r="564" spans="13:30" x14ac:dyDescent="0.2">
      <c r="M564" s="2"/>
      <c r="N564" s="2"/>
      <c r="O564" s="2"/>
      <c r="Y564"/>
      <c r="Z564"/>
      <c r="AA564"/>
      <c r="AB564"/>
      <c r="AC564"/>
      <c r="AD564"/>
    </row>
    <row r="565" spans="13:30" x14ac:dyDescent="0.2">
      <c r="M565" s="2"/>
      <c r="N565" s="2"/>
      <c r="O565" s="2"/>
      <c r="Y565"/>
      <c r="Z565"/>
      <c r="AA565"/>
      <c r="AB565"/>
      <c r="AC565"/>
      <c r="AD565"/>
    </row>
    <row r="566" spans="13:30" x14ac:dyDescent="0.2">
      <c r="M566" s="2"/>
      <c r="N566" s="2"/>
      <c r="O566" s="2"/>
      <c r="Y566"/>
      <c r="Z566"/>
      <c r="AA566"/>
      <c r="AB566"/>
      <c r="AC566"/>
      <c r="AD566"/>
    </row>
    <row r="567" spans="13:30" x14ac:dyDescent="0.2">
      <c r="M567" s="2"/>
      <c r="N567" s="2"/>
      <c r="O567" s="2"/>
      <c r="Y567"/>
      <c r="Z567"/>
      <c r="AA567"/>
      <c r="AB567"/>
      <c r="AC567"/>
      <c r="AD567"/>
    </row>
    <row r="568" spans="13:30" x14ac:dyDescent="0.2">
      <c r="M568" s="2"/>
      <c r="N568" s="2"/>
      <c r="O568" s="2"/>
      <c r="Y568"/>
      <c r="Z568"/>
      <c r="AA568"/>
      <c r="AB568"/>
      <c r="AC568"/>
      <c r="AD568"/>
    </row>
    <row r="569" spans="13:30" x14ac:dyDescent="0.2">
      <c r="M569" s="2"/>
      <c r="N569" s="2"/>
      <c r="O569" s="2"/>
      <c r="Y569"/>
      <c r="Z569"/>
      <c r="AA569"/>
      <c r="AB569"/>
      <c r="AC569"/>
      <c r="AD569"/>
    </row>
    <row r="570" spans="13:30" x14ac:dyDescent="0.2">
      <c r="M570" s="2"/>
      <c r="N570" s="2"/>
      <c r="O570" s="2"/>
      <c r="Y570"/>
      <c r="Z570"/>
      <c r="AA570"/>
      <c r="AB570"/>
      <c r="AC570"/>
      <c r="AD570"/>
    </row>
    <row r="571" spans="13:30" x14ac:dyDescent="0.2">
      <c r="M571" s="2"/>
      <c r="N571" s="2"/>
      <c r="O571" s="2"/>
      <c r="Y571"/>
      <c r="Z571"/>
      <c r="AA571"/>
      <c r="AB571"/>
      <c r="AC571"/>
      <c r="AD571"/>
    </row>
    <row r="572" spans="13:30" x14ac:dyDescent="0.2">
      <c r="M572" s="2"/>
      <c r="N572" s="2"/>
      <c r="O572" s="2"/>
      <c r="Y572"/>
      <c r="Z572"/>
      <c r="AA572"/>
      <c r="AB572"/>
      <c r="AC572"/>
      <c r="AD572"/>
    </row>
    <row r="573" spans="13:30" x14ac:dyDescent="0.2">
      <c r="M573" s="2"/>
      <c r="N573" s="2"/>
      <c r="O573" s="2"/>
      <c r="Y573"/>
      <c r="Z573"/>
      <c r="AA573"/>
      <c r="AB573"/>
      <c r="AC573"/>
      <c r="AD573"/>
    </row>
    <row r="574" spans="13:30" x14ac:dyDescent="0.2">
      <c r="M574" s="2"/>
      <c r="N574" s="2"/>
      <c r="O574" s="2"/>
      <c r="Y574"/>
      <c r="Z574"/>
      <c r="AA574"/>
      <c r="AB574"/>
      <c r="AC574"/>
      <c r="AD574"/>
    </row>
    <row r="575" spans="13:30" x14ac:dyDescent="0.2">
      <c r="M575" s="2"/>
      <c r="N575" s="2"/>
      <c r="O575" s="2"/>
      <c r="Y575"/>
      <c r="Z575"/>
      <c r="AA575"/>
      <c r="AB575"/>
      <c r="AC575"/>
      <c r="AD575"/>
    </row>
    <row r="576" spans="13:30" x14ac:dyDescent="0.2">
      <c r="M576" s="2"/>
      <c r="N576" s="2"/>
      <c r="O576" s="2"/>
      <c r="Y576"/>
      <c r="Z576"/>
      <c r="AA576"/>
      <c r="AB576"/>
      <c r="AC576"/>
      <c r="AD576"/>
    </row>
    <row r="577" spans="13:30" x14ac:dyDescent="0.2">
      <c r="M577" s="2"/>
      <c r="N577" s="2"/>
      <c r="O577" s="2"/>
      <c r="Y577"/>
      <c r="Z577"/>
      <c r="AA577"/>
      <c r="AB577"/>
      <c r="AC577"/>
      <c r="AD577"/>
    </row>
    <row r="578" spans="13:30" x14ac:dyDescent="0.2">
      <c r="M578" s="2"/>
      <c r="N578" s="2"/>
      <c r="O578" s="2"/>
      <c r="Y578"/>
      <c r="Z578"/>
      <c r="AA578"/>
      <c r="AB578"/>
      <c r="AC578"/>
      <c r="AD578"/>
    </row>
    <row r="579" spans="13:30" x14ac:dyDescent="0.2">
      <c r="M579" s="2"/>
      <c r="N579" s="2"/>
      <c r="O579" s="2"/>
      <c r="Y579"/>
      <c r="Z579"/>
      <c r="AA579"/>
      <c r="AB579"/>
      <c r="AC579"/>
      <c r="AD579"/>
    </row>
    <row r="580" spans="13:30" x14ac:dyDescent="0.2">
      <c r="M580" s="2"/>
      <c r="N580" s="2"/>
      <c r="O580" s="2"/>
      <c r="Y580"/>
      <c r="Z580"/>
      <c r="AA580"/>
      <c r="AB580"/>
      <c r="AC580"/>
      <c r="AD580"/>
    </row>
    <row r="581" spans="13:30" x14ac:dyDescent="0.2">
      <c r="M581" s="2"/>
      <c r="N581" s="2"/>
      <c r="O581" s="2"/>
      <c r="Y581"/>
      <c r="Z581"/>
      <c r="AA581"/>
      <c r="AB581"/>
      <c r="AC581"/>
      <c r="AD581"/>
    </row>
    <row r="582" spans="13:30" x14ac:dyDescent="0.2">
      <c r="M582" s="2"/>
      <c r="N582" s="2"/>
      <c r="O582" s="2"/>
      <c r="Y582"/>
      <c r="Z582"/>
      <c r="AA582"/>
      <c r="AB582"/>
      <c r="AC582"/>
      <c r="AD582"/>
    </row>
    <row r="583" spans="13:30" x14ac:dyDescent="0.2">
      <c r="M583" s="2"/>
      <c r="N583" s="2"/>
      <c r="O583" s="2"/>
      <c r="Y583"/>
      <c r="Z583"/>
      <c r="AA583"/>
      <c r="AB583"/>
      <c r="AC583"/>
      <c r="AD583"/>
    </row>
    <row r="584" spans="13:30" x14ac:dyDescent="0.2">
      <c r="M584" s="2"/>
      <c r="N584" s="2"/>
      <c r="O584" s="2"/>
      <c r="Y584"/>
      <c r="Z584"/>
      <c r="AA584"/>
      <c r="AB584"/>
      <c r="AC584"/>
      <c r="AD584"/>
    </row>
    <row r="585" spans="13:30" x14ac:dyDescent="0.2">
      <c r="M585" s="2"/>
      <c r="N585" s="2"/>
      <c r="O585" s="2"/>
      <c r="Y585"/>
      <c r="Z585"/>
      <c r="AA585"/>
      <c r="AB585"/>
      <c r="AC585"/>
      <c r="AD585"/>
    </row>
    <row r="586" spans="13:30" x14ac:dyDescent="0.2">
      <c r="M586" s="2"/>
      <c r="N586" s="2"/>
      <c r="O586" s="2"/>
      <c r="Y586"/>
      <c r="Z586"/>
      <c r="AA586"/>
      <c r="AB586"/>
      <c r="AC586"/>
      <c r="AD586"/>
    </row>
    <row r="587" spans="13:30" x14ac:dyDescent="0.2">
      <c r="M587" s="2"/>
      <c r="N587" s="2"/>
      <c r="O587" s="2"/>
      <c r="Y587"/>
      <c r="Z587"/>
      <c r="AA587"/>
      <c r="AB587"/>
      <c r="AC587"/>
      <c r="AD587"/>
    </row>
    <row r="588" spans="13:30" x14ac:dyDescent="0.2">
      <c r="M588" s="2"/>
      <c r="N588" s="2"/>
      <c r="O588" s="2"/>
      <c r="Y588"/>
      <c r="Z588"/>
      <c r="AA588"/>
      <c r="AB588"/>
      <c r="AC588"/>
      <c r="AD588"/>
    </row>
    <row r="589" spans="13:30" x14ac:dyDescent="0.2">
      <c r="M589" s="2"/>
      <c r="N589" s="2"/>
      <c r="O589" s="2"/>
      <c r="Y589"/>
      <c r="Z589"/>
      <c r="AA589"/>
      <c r="AB589"/>
      <c r="AC589"/>
      <c r="AD589"/>
    </row>
    <row r="590" spans="13:30" x14ac:dyDescent="0.2">
      <c r="M590" s="2"/>
      <c r="N590" s="2"/>
      <c r="O590" s="2"/>
      <c r="Y590"/>
      <c r="Z590"/>
      <c r="AA590"/>
      <c r="AB590"/>
      <c r="AC590"/>
      <c r="AD590"/>
    </row>
    <row r="591" spans="13:30" x14ac:dyDescent="0.2">
      <c r="M591" s="2"/>
      <c r="N591" s="2"/>
      <c r="O591" s="2"/>
      <c r="Y591"/>
      <c r="Z591"/>
      <c r="AA591"/>
      <c r="AB591"/>
      <c r="AC591"/>
      <c r="AD591"/>
    </row>
    <row r="592" spans="13:30" x14ac:dyDescent="0.2">
      <c r="M592" s="2"/>
      <c r="N592" s="2"/>
      <c r="O592" s="2"/>
      <c r="Y592"/>
      <c r="Z592"/>
      <c r="AA592"/>
      <c r="AB592"/>
      <c r="AC592"/>
      <c r="AD592"/>
    </row>
    <row r="593" spans="13:30" x14ac:dyDescent="0.2">
      <c r="M593" s="2"/>
      <c r="N593" s="2"/>
      <c r="O593" s="2"/>
      <c r="Y593"/>
      <c r="Z593"/>
      <c r="AA593"/>
      <c r="AB593"/>
      <c r="AC593"/>
      <c r="AD593"/>
    </row>
    <row r="594" spans="13:30" x14ac:dyDescent="0.2">
      <c r="M594" s="2"/>
      <c r="N594" s="2"/>
      <c r="O594" s="2"/>
      <c r="Y594"/>
      <c r="Z594"/>
      <c r="AA594"/>
      <c r="AB594"/>
      <c r="AC594"/>
      <c r="AD594"/>
    </row>
    <row r="595" spans="13:30" x14ac:dyDescent="0.2">
      <c r="M595" s="2"/>
      <c r="N595" s="2"/>
      <c r="O595" s="2"/>
      <c r="Y595"/>
      <c r="Z595"/>
      <c r="AA595"/>
      <c r="AB595"/>
      <c r="AC595"/>
      <c r="AD595"/>
    </row>
    <row r="596" spans="13:30" x14ac:dyDescent="0.2">
      <c r="M596" s="2"/>
      <c r="N596" s="2"/>
      <c r="O596" s="2"/>
      <c r="Y596"/>
      <c r="Z596"/>
      <c r="AA596"/>
      <c r="AB596"/>
      <c r="AC596"/>
      <c r="AD596"/>
    </row>
    <row r="597" spans="13:30" x14ac:dyDescent="0.2">
      <c r="Y597"/>
      <c r="Z597"/>
      <c r="AA597"/>
      <c r="AB597"/>
      <c r="AC597"/>
      <c r="AD597"/>
    </row>
    <row r="598" spans="13:30" x14ac:dyDescent="0.2">
      <c r="Y598"/>
      <c r="Z598"/>
      <c r="AA598"/>
      <c r="AB598"/>
      <c r="AC598"/>
      <c r="AD598"/>
    </row>
    <row r="599" spans="13:30" x14ac:dyDescent="0.2">
      <c r="Y599"/>
      <c r="Z599"/>
      <c r="AA599"/>
      <c r="AB599"/>
      <c r="AC599"/>
      <c r="AD599"/>
    </row>
    <row r="600" spans="13:30" x14ac:dyDescent="0.2">
      <c r="Y600"/>
      <c r="Z600"/>
      <c r="AA600"/>
      <c r="AB600"/>
      <c r="AC600"/>
      <c r="AD600"/>
    </row>
    <row r="601" spans="13:30" x14ac:dyDescent="0.2">
      <c r="Y601"/>
      <c r="Z601"/>
      <c r="AA601"/>
      <c r="AB601"/>
      <c r="AC601"/>
      <c r="AD601"/>
    </row>
    <row r="602" spans="13:30" x14ac:dyDescent="0.2">
      <c r="Y602"/>
      <c r="Z602"/>
      <c r="AA602"/>
      <c r="AB602"/>
      <c r="AC602"/>
      <c r="AD602"/>
    </row>
    <row r="603" spans="13:30" x14ac:dyDescent="0.2">
      <c r="Y603"/>
      <c r="Z603"/>
      <c r="AA603"/>
      <c r="AB603"/>
      <c r="AC603"/>
      <c r="AD603"/>
    </row>
    <row r="604" spans="13:30" x14ac:dyDescent="0.2">
      <c r="Y604"/>
      <c r="Z604"/>
      <c r="AA604"/>
      <c r="AB604"/>
      <c r="AC604"/>
      <c r="AD604"/>
    </row>
    <row r="605" spans="13:30" x14ac:dyDescent="0.2">
      <c r="Y605"/>
      <c r="Z605"/>
      <c r="AA605"/>
      <c r="AB605"/>
      <c r="AC605"/>
      <c r="AD605"/>
    </row>
    <row r="606" spans="13:30" x14ac:dyDescent="0.2">
      <c r="Y606"/>
      <c r="Z606"/>
      <c r="AA606"/>
      <c r="AB606"/>
      <c r="AC606"/>
      <c r="AD606"/>
    </row>
    <row r="607" spans="13:30" x14ac:dyDescent="0.2">
      <c r="Y607"/>
      <c r="Z607"/>
      <c r="AA607"/>
      <c r="AB607"/>
      <c r="AC607"/>
      <c r="AD607"/>
    </row>
    <row r="608" spans="13:30" x14ac:dyDescent="0.2">
      <c r="Y608"/>
      <c r="Z608"/>
      <c r="AA608"/>
      <c r="AB608"/>
      <c r="AC608"/>
      <c r="AD608"/>
    </row>
    <row r="609" spans="25:30" x14ac:dyDescent="0.2">
      <c r="Y609"/>
      <c r="Z609"/>
      <c r="AA609"/>
      <c r="AB609"/>
      <c r="AC609"/>
      <c r="AD609"/>
    </row>
    <row r="610" spans="25:30" x14ac:dyDescent="0.2">
      <c r="Y610"/>
      <c r="Z610"/>
      <c r="AA610"/>
      <c r="AB610"/>
      <c r="AC610"/>
      <c r="AD610"/>
    </row>
    <row r="611" spans="25:30" x14ac:dyDescent="0.2">
      <c r="Y611"/>
      <c r="Z611"/>
      <c r="AA611"/>
      <c r="AB611"/>
      <c r="AC611"/>
      <c r="AD611"/>
    </row>
    <row r="612" spans="25:30" x14ac:dyDescent="0.2">
      <c r="Y612"/>
      <c r="Z612"/>
      <c r="AA612"/>
      <c r="AB612"/>
      <c r="AC612"/>
      <c r="AD612"/>
    </row>
  </sheetData>
  <autoFilter ref="M2:Q24" xr:uid="{116910BA-61CB-5F42-A5A9-CCB00D8418FF}"/>
  <sortState xmlns:xlrd2="http://schemas.microsoft.com/office/spreadsheetml/2017/richdata2" ref="E3:W23">
    <sortCondition ref="J3:J23"/>
  </sortState>
  <mergeCells count="45">
    <mergeCell ref="U21:U23"/>
    <mergeCell ref="U19:U20"/>
    <mergeCell ref="B1:J1"/>
    <mergeCell ref="R1:W1"/>
    <mergeCell ref="R3:R9"/>
    <mergeCell ref="L1:Q1"/>
    <mergeCell ref="L3:L9"/>
    <mergeCell ref="L10:L23"/>
    <mergeCell ref="S3:S9"/>
    <mergeCell ref="S15:S18"/>
    <mergeCell ref="S10:S14"/>
    <mergeCell ref="M3:M9"/>
    <mergeCell ref="M15:M18"/>
    <mergeCell ref="M10:M14"/>
    <mergeCell ref="U15:U18"/>
    <mergeCell ref="R10:R23"/>
    <mergeCell ref="M21:M23"/>
    <mergeCell ref="M19:M20"/>
    <mergeCell ref="S21:S23"/>
    <mergeCell ref="S19:S20"/>
    <mergeCell ref="O15:O18"/>
    <mergeCell ref="O10:O14"/>
    <mergeCell ref="O21:O23"/>
    <mergeCell ref="O19:O20"/>
    <mergeCell ref="O3:O4"/>
    <mergeCell ref="O5:O6"/>
    <mergeCell ref="O8:O9"/>
    <mergeCell ref="N10:N14"/>
    <mergeCell ref="N15:N18"/>
    <mergeCell ref="N19:N20"/>
    <mergeCell ref="N21:N23"/>
    <mergeCell ref="N3:N4"/>
    <mergeCell ref="N5:N6"/>
    <mergeCell ref="N8:N9"/>
    <mergeCell ref="T19:T20"/>
    <mergeCell ref="T21:T23"/>
    <mergeCell ref="T3:T4"/>
    <mergeCell ref="T5:T6"/>
    <mergeCell ref="T8:T9"/>
    <mergeCell ref="U3:U4"/>
    <mergeCell ref="U5:U6"/>
    <mergeCell ref="U8:U9"/>
    <mergeCell ref="T10:T14"/>
    <mergeCell ref="T15:T18"/>
    <mergeCell ref="U10:U14"/>
  </mergeCells>
  <phoneticPr fontId="19" type="noConversion"/>
  <conditionalFormatting sqref="Z613:Z1048576">
    <cfRule type="cellIs" dxfId="1" priority="8" stopIfTrue="1" operator="equal">
      <formula>1</formula>
    </cfRule>
  </conditionalFormatting>
  <conditionalFormatting sqref="AB613:AE1048576">
    <cfRule type="cellIs" dxfId="0" priority="13" stopIfTrue="1" operator="equal">
      <formula>1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Distrib muestra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Gonzalo CBM</cp:lastModifiedBy>
  <dcterms:created xsi:type="dcterms:W3CDTF">2025-09-11T00:35:43Z</dcterms:created>
  <dcterms:modified xsi:type="dcterms:W3CDTF">2025-10-02T13:50:10Z</dcterms:modified>
</cp:coreProperties>
</file>